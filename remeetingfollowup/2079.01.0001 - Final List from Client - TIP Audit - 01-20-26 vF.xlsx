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lukebarbin/Desktop/2079.01.0001 - UltronAI/Final Patent List from Client/"/>
    </mc:Choice>
  </mc:AlternateContent>
  <xr:revisionPtr revIDLastSave="0" documentId="13_ncr:1_{BE7AE111-838F-884C-B064-C6ED81170081}" xr6:coauthVersionLast="47" xr6:coauthVersionMax="47" xr10:uidLastSave="{00000000-0000-0000-0000-000000000000}"/>
  <bookViews>
    <workbookView xWindow="2600" yWindow="660" windowWidth="28840" windowHeight="20200" xr2:uid="{C69EB29B-8D2C-024D-9068-54FF58FF9133}"/>
  </bookViews>
  <sheets>
    <sheet name="export" sheetId="1" r:id="rId1"/>
  </sheets>
  <definedNames>
    <definedName name="_xlnm._FilterDatabase" localSheetId="0" hidden="1">export!$A$1:$AS$67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1" l="1"/>
  <c r="H2" i="1"/>
  <c r="H19" i="1"/>
  <c r="H45" i="1"/>
  <c r="H41" i="1"/>
  <c r="H50" i="1"/>
  <c r="H17" i="1"/>
  <c r="H34" i="1"/>
  <c r="H18" i="1"/>
  <c r="H35" i="1"/>
  <c r="H8" i="1"/>
  <c r="H43" i="1"/>
  <c r="H46" i="1"/>
  <c r="H16" i="1"/>
  <c r="H58" i="1"/>
  <c r="H55" i="1"/>
  <c r="H52" i="1"/>
  <c r="H27" i="1"/>
  <c r="H15" i="1"/>
  <c r="H37" i="1"/>
  <c r="H32" i="1"/>
  <c r="H30" i="1"/>
  <c r="H5" i="1"/>
  <c r="H22" i="1"/>
  <c r="H42" i="1"/>
  <c r="H38" i="1"/>
  <c r="H10" i="1"/>
  <c r="H12" i="1"/>
  <c r="H36" i="1"/>
  <c r="H25" i="1"/>
  <c r="H57" i="1"/>
  <c r="H53" i="1"/>
  <c r="H49" i="1"/>
  <c r="H24" i="1"/>
  <c r="H54" i="1"/>
  <c r="H29" i="1"/>
  <c r="H3" i="1"/>
  <c r="H33" i="1"/>
  <c r="H48" i="1"/>
  <c r="H44" i="1"/>
  <c r="H6" i="1"/>
  <c r="H13" i="1"/>
  <c r="H20" i="1"/>
  <c r="H11" i="1"/>
  <c r="H59" i="1"/>
  <c r="H56" i="1"/>
  <c r="H40" i="1"/>
  <c r="H7" i="1"/>
  <c r="H21" i="1"/>
  <c r="H39" i="1"/>
  <c r="H23" i="1"/>
  <c r="H9" i="1"/>
  <c r="H51" i="1"/>
  <c r="H4" i="1"/>
  <c r="H14" i="1"/>
  <c r="H26" i="1"/>
  <c r="H31" i="1"/>
  <c r="H28" i="1"/>
  <c r="H47" i="1"/>
  <c r="H60" i="1"/>
  <c r="H62" i="1"/>
  <c r="H61" i="1"/>
</calcChain>
</file>

<file path=xl/sharedStrings.xml><?xml version="1.0" encoding="utf-8"?>
<sst xmlns="http://schemas.openxmlformats.org/spreadsheetml/2006/main" count="1199" uniqueCount="562">
  <si>
    <t>Document No.</t>
  </si>
  <si>
    <t>Legal Status</t>
  </si>
  <si>
    <t>PDF</t>
  </si>
  <si>
    <t>Title</t>
  </si>
  <si>
    <t>Abstract</t>
  </si>
  <si>
    <t>Assignee (original)</t>
  </si>
  <si>
    <t>Assignee (current)</t>
  </si>
  <si>
    <t>Priority Date</t>
  </si>
  <si>
    <t>File Date</t>
  </si>
  <si>
    <t>Publish/Grant Date</t>
  </si>
  <si>
    <t>Next Maintenance Date</t>
  </si>
  <si>
    <t>Estimated Expiration</t>
  </si>
  <si>
    <t>CPC Class (All)</t>
  </si>
  <si>
    <t>Simple Family Members</t>
  </si>
  <si>
    <t>Simple Family Size (Pubs)</t>
  </si>
  <si>
    <t>Claim Count (All)</t>
  </si>
  <si>
    <t>Entity Status</t>
  </si>
  <si>
    <t>Simple Family ID</t>
  </si>
  <si>
    <t>App Serial Number</t>
  </si>
  <si>
    <t>Application Family Members</t>
  </si>
  <si>
    <t>Granted Patent Number</t>
  </si>
  <si>
    <t>Application Publication Number</t>
  </si>
  <si>
    <t>Forward Direct Cites</t>
  </si>
  <si>
    <t>Extended Family ID</t>
  </si>
  <si>
    <t>Execution Date</t>
  </si>
  <si>
    <t>Inventors</t>
  </si>
  <si>
    <t>Application Status</t>
  </si>
  <si>
    <t>Reverse Direct Cites</t>
  </si>
  <si>
    <t>Claim Count (Ind.)</t>
  </si>
  <si>
    <t>Claim Count (Dep.)</t>
  </si>
  <si>
    <t>Office Action Count</t>
  </si>
  <si>
    <t>RCE Count</t>
  </si>
  <si>
    <t>CPC Class (Inventive)</t>
  </si>
  <si>
    <t>Active Count</t>
  </si>
  <si>
    <t>Country Code</t>
  </si>
  <si>
    <t>Top Citing Assignees</t>
  </si>
  <si>
    <t>Kind</t>
  </si>
  <si>
    <t>PSCORE</t>
  </si>
  <si>
    <t>Validated Count</t>
  </si>
  <si>
    <t>Validated States List</t>
  </si>
  <si>
    <t>Active States List</t>
  </si>
  <si>
    <t>Status Details (text)</t>
  </si>
  <si>
    <t>Document Status</t>
  </si>
  <si>
    <t>Status Details Date</t>
  </si>
  <si>
    <t>US11915463B2</t>
  </si>
  <si>
    <t>Active</t>
  </si>
  <si>
    <t>System and method for the automatic enrollment of object images into a gallery</t>
  </si>
  <si>
    <t>Disclosed herein is a system and method of identifying new products on a retail shelf using a feature extractor trained to extract features from images of products on the shelf and output identifying information regarding the product in the product image. The extracted features are compared to extracted features in a product library and a best-fit is obtained. A new product is identified if the distance between the features of the product on the shelf and the features of the best-fit product from the product library are above a predetermined threshold.</t>
  </si>
  <si>
    <t>CARNEGIE MELLON UNIVERSITY</t>
  </si>
  <si>
    <t>G06V20/52; G06F16/56; G06F18/214; G06Q10/087; G06T7/73; G06V10/25; G06V10/443; G06V10/82; G06V20/20</t>
  </si>
  <si>
    <t>US20220058425 A1; US20240355085 A1</t>
  </si>
  <si>
    <t>Small</t>
  </si>
  <si>
    <t>17/408778</t>
  </si>
  <si>
    <t>US20220058425 A1</t>
  </si>
  <si>
    <t>Savvides, Marios; Zhu, Chenchen; Chen, Fangyi; Ahmed, Uzair; Tao, Ran</t>
  </si>
  <si>
    <t>US</t>
  </si>
  <si>
    <t>WALMART APOLLO LLC (16); AMAZON TECH INC (2); UNIV CARNEGIE MELLON (2); BAIDU ON LINE NETWORK TECH BEIJING CO (1); DATA CORE SYSTEMS INC (1); SICK AG (1); SIMBE ROBOTICS INC (1); ZEBRA TECH CORP (1)</t>
  </si>
  <si>
    <t>B2</t>
  </si>
  <si>
    <t>Patented Case</t>
  </si>
  <si>
    <t>ACTIVE</t>
  </si>
  <si>
    <t>US12067527B2</t>
  </si>
  <si>
    <t>System and method for identifying misplaced products in a shelf management system</t>
  </si>
  <si>
    <t>Disclosed herein is a system and method of identifying misplaced products on a retail shelf using a feature extractor trained to extract features from images of products on the shelf and output identifying information regarding the product in the product image. The extracted features are compared to extracted features in a product library and a best fit is obtained. A misplaced product is identified if the identifying information produced by the feature extractor fails to match the identifying information associated with the best fit features from the product library.</t>
  </si>
  <si>
    <t>G06Q10/087; G06F16/5846; G06F18/2113; G06F18/214; G06F18/28; G06V10/40; G06V10/751; G06V10/82; G06V20/52; H04N7/18</t>
  </si>
  <si>
    <t>US20220051177 A1; US20250045692 A1</t>
  </si>
  <si>
    <t>17/400996</t>
  </si>
  <si>
    <t>US20220051177 A1</t>
  </si>
  <si>
    <t>Savvides, Marios; Nallamothu, Sreena; Kannan, Magesh; Ahmed, Uzair; Tao, Ran; Zheng, Yutong</t>
  </si>
  <si>
    <t>E AERO TECH CO (2); UNIV CARNEGIE MELLON (2); BOE TECH GROUP CO (1); GUANGZHOU SITO ELECTRONIC TECH CO (1); MARKETVISION CO (1); SAMSUNG ELECTRONICS (1); WALMART APOLLO LLC (1)</t>
  </si>
  <si>
    <t>US10755145B2</t>
  </si>
  <si>
    <t>3D spatial transformer network</t>
  </si>
  <si>
    <t>The present invention provides a novel approach to simultaneously extracting the 3D shape of the face and the semantically consistent 2D alignment using a 3D Spatial Transformer Network (3DSTN) to model both the camera projection matrix and the warping parameters of a 3D model. By utilizing a generic 3D model and a thin plate spline (TPS) warping function, subject-specific 3D shapes are able to be generated without the need for a large 3D shape basis.</t>
  </si>
  <si>
    <t>G06V40/165; G06F18/217; G06T17/00; G06T17/10; G06T2210/44</t>
  </si>
  <si>
    <t>US20190012578 A1</t>
  </si>
  <si>
    <t>16/029124</t>
  </si>
  <si>
    <t>Bhagavatula, Chandrasekhar; Luu, Khoa; Sawides, Marios; Zhu, Chenchen</t>
  </si>
  <si>
    <t>G06V40/165; G06F18/217; G06T17/00; G06T17/10</t>
  </si>
  <si>
    <t>AUTODESK INC (3); NVIDIA CORP (3); BLUEBEAM INC (2); BAIDU ON LINE NETWORK TECH BEIJING CO (1); BEIJING SENSETIME TECH DEV CO (1); BEIJING SINODATA TECH CO (1); CORETRONIC CORP (1); COSTAR REALTY INFORMATION INC (1); GOOGLE INC (1); ITSEEZ3D INC (1)</t>
  </si>
  <si>
    <t>US20240071029A1</t>
  </si>
  <si>
    <t>SOFT ANCHOR POINT OBJECT DETECTION</t>
  </si>
  <si>
    <t>Disclosed herein is a method of soft anchor-point detection (SAPD), which implements a concise, single-stage anchor-point detector with both faster speed and higher accuracy. Also disclosed is a novel training strategy with two softened optimization techniques: soft-weighted anchor points and soft-selected pyramid levels.</t>
  </si>
  <si>
    <t>G06V10/25; G06V10/44; G06V10/52; G06V10/761; G06V10/764; G06V10/771; G06V10/82; G06V20/00; G06V2201/07</t>
  </si>
  <si>
    <t>WO2022169622 A1</t>
  </si>
  <si>
    <t>18/272290</t>
  </si>
  <si>
    <t>Zhu, Chenchen; Savvides, Marios; Shen, Zhiqiang; Chen, Fangyi</t>
  </si>
  <si>
    <t>Not Granted</t>
  </si>
  <si>
    <t>G06V10/25; G06V10/44; G06V10/52; G06V10/761; G06V10/764; G06V10/771; G06V10/82; G06V20/00</t>
  </si>
  <si>
    <t>A1</t>
  </si>
  <si>
    <t>Non Final Action Mailed</t>
  </si>
  <si>
    <t>US12190565B2</t>
  </si>
  <si>
    <t>System and method for domain-agnostic bias reduction with selected sampling for few-shot learning</t>
  </si>
  <si>
    <t>Disclosed herein is a methodology for refining novel-class features in a few-shot learning scenario by fine-tuning the feature extractor by reducing both class-agnostic biases and class-specific biases. A distribution calibration module is used to reduce the class-agnostic bias by normalizing the overall feature distribution for novel classes and further reshaping the feature manifold for fast adaptation during fine-tuning. Selected sampling is used to reduce class-specific bias by augmenting more data for better estimation.</t>
  </si>
  <si>
    <t>G06V10/82; G06N20/00; G06V10/764; G06V10/771; G06V10/7715; G06N7/01</t>
  </si>
  <si>
    <t>US20240071050 A1; WO2022173650 A1</t>
  </si>
  <si>
    <t>18/267540</t>
  </si>
  <si>
    <t>US20240071050 A1</t>
  </si>
  <si>
    <t>Tao, Ran; Savvides, Marios</t>
  </si>
  <si>
    <t>G06V10/82; G06N20/00; G06V10/764; G06V10/771; G06V10/7715</t>
  </si>
  <si>
    <t>HUAWEI TECH CO (1); UNIV SCIENCE &amp; TECH CHINA (1)</t>
  </si>
  <si>
    <t>US20240054775A1</t>
  </si>
  <si>
    <t>SYSTEM AND METHOD FOR DOMAIN ADAPTIVE OBJECT DETECTION VIA GRADIENT DETACH BASED STACKED COMPLEMENTARY LOSSES</t>
  </si>
  <si>
    <t>Disclosed herein an effective detach strategy which suppresses the flow of gradients from context sub-networks through the detection backbone path to obtain a more discriminative context by forcing the representation of context sub-network to be dissimilar from the detection network. A sub-network is defined to generate the context information from early layers of the detection backbone. Because instance and context focus on perceptually different parts of an image, the representations from either of them should also be discrepant. In addition, a stacked complementary loss is generated to and backpropagated to the detection network.</t>
  </si>
  <si>
    <t>G06V10/82; G06F18/214; G06F18/217; G06N3/045; G06N3/0464; G06N3/084; G06N3/094; G06V10/7715</t>
  </si>
  <si>
    <t>WO2022173602 A1</t>
  </si>
  <si>
    <t>18/267539</t>
  </si>
  <si>
    <t>Shen, Zhiqiang; Maheshwari, Harsh; Savvides, Marios</t>
  </si>
  <si>
    <t>US12189714B2</t>
  </si>
  <si>
    <t>System and method for improved few-shot object detection using a dynamic semantic network</t>
  </si>
  <si>
    <t>Disclosed herein is an improved few-shot detector which utilizes a dynamic semantic network which takes as input a language feature and generates trainable parameters for a visual network. The visual network takes a visual feature as input and generates a classification and localization of an object.</t>
  </si>
  <si>
    <t>G06V10/82; G06F18/2136; G06N3/04; G06N3/042; G06N3/0455; G06N3/084; G06N5/02; G06N5/022; G06V20/70</t>
  </si>
  <si>
    <t>US20240045925 A1</t>
  </si>
  <si>
    <t>18/266744</t>
  </si>
  <si>
    <t>UNIV OHIO STATE (1)</t>
  </si>
  <si>
    <t>US20240095524A1</t>
  </si>
  <si>
    <t>SYSTEM AND METHOD FOR THE AUTOMATED LEARNING OF LEAN CNN NETWORK ARCHITECTURES</t>
  </si>
  <si>
    <t>Disclosed herein is a system and method for evolving a deep neural network model by searching for hidden sub-networks within the model. The model is evolved by adding convolutional layers to the model, then pruning the model to remove redundant filters. The model is exposed to training samples of increasing complexity each time the model is evolved, until a desired level of performance is achieved, at which time, the model is exposed to all available training data.</t>
  </si>
  <si>
    <t>G06N3/082; G06N3/045; G06N3/0464; G06N3/0495; G06N3/08; G06N3/09</t>
  </si>
  <si>
    <t>WO2022177931 A1</t>
  </si>
  <si>
    <t>18/275320</t>
  </si>
  <si>
    <t>Savvides, Marios; Ahmed, Uzair; Phan, Thanh Hai</t>
  </si>
  <si>
    <t>Docketed New Case - Ready for Examination</t>
  </si>
  <si>
    <t>US11989933B2</t>
  </si>
  <si>
    <t>Polynomial convolutional neural network with late fan-out</t>
  </si>
  <si>
    <t>The invention proposes a method of training a convolutional neural network in which, at each convolutional layer, weights for one seed convolutional filter per layer are updated during each training iteration. All other convolutional filters are polynomial transformations of the seed filter, or, alternatively, all response maps are polynomial transformations of the response map generated by the seed filter.</t>
  </si>
  <si>
    <t>G06V10/82; G06F18/21; G06F18/21355; G06F18/2414; G06F18/253; G06N3/045; G06N3/0464; G06N3/048; G06N3/08; G06N3/084; G06N3/09; G06V10/454</t>
  </si>
  <si>
    <t>US11875557 B2; US20210042559 A1; US20210089844 A1; WO2019210295 A1; WO2019210300 A1</t>
  </si>
  <si>
    <t>16/976412</t>
  </si>
  <si>
    <t>US20210042559 A1</t>
  </si>
  <si>
    <t>Xu, Felix Juefei; Savvides, Marios</t>
  </si>
  <si>
    <t>SAMSUNG ELECTRONICS (1)</t>
  </si>
  <si>
    <t>US11900516B2</t>
  </si>
  <si>
    <t>System and method for pose tolerant feature extraction using generated pose-altered images</t>
  </si>
  <si>
    <t>Disclosed herein is a system and method for augmenting data by generating a plurality of pose-altered images of an item from one or more 2D images of the item and using the augmented data to train a train a feature extractor. In other aspects of the invention, the trained feature extractor is used to enroll features extracted from images of new products in a library database of known products or to identify images of unknown products by matching features of an image of the unknown product with features stored in the library database.</t>
  </si>
  <si>
    <t>G06N3/08; G06N3/0464; G06N3/0475; G06N3/0895; G06N3/09; G06N3/094; G06T11/60; G06T17/00; G06T19/20; G06T3/60; G06V10/245; G06V10/25; G06V10/44; G06V10/56; G06V10/761; G06V10/764; G06V10/774; G06V10/776; G06V10/82; G06V20/50; G06V20/68; G06Q10/08; G06T2219/2016</t>
  </si>
  <si>
    <t>US20240071024 A1; US20250292469 A1; US20240104893 A1; US12217339 B2; US20250182363 A1; US20240013457 A1; US12322012 B2; WO/2022/212238 A1; WO/2022/212804 A1; WO/2022/212618 A1</t>
  </si>
  <si>
    <t>18/011558</t>
  </si>
  <si>
    <t>US20240013457 A1</t>
  </si>
  <si>
    <t>Savvides, Marios; Hu, Kai; Zheng, Yutong; Uzair, Ahmed; Nallamothu, Sreena</t>
  </si>
  <si>
    <t>G06N3/08; G06N3/0464; G06N3/0475; G06N3/0895; G06N3/09; G06N3/094; G06T11/60; G06T17/00; G06T19/20; G06T3/60; G06V10/245; G06V10/25; G06V10/44; G06V10/56; G06V10/761; G06V10/764; G06V10/774; G06V10/776; G06V10/82; G06V20/50; G06V20/68</t>
  </si>
  <si>
    <t>MIRIS INC (1)</t>
  </si>
  <si>
    <t>US20240104761A1</t>
  </si>
  <si>
    <t>System and Method for Using Non-Axis Aligned Bounding Boxes for Retail Detection</t>
  </si>
  <si>
    <t>Disclosed herein is a system and method for generating quadrilateral bonding boxes which tightly cover the most representative faces of retail products having arbitrary poses. The quadrilateral boxes do not include unnecessary background information or miss parts of the objects, as would the axis-aligned bounding boxes produced by prior art detectors. A simple projection transformation can correct the pose of products for downstream tasks.</t>
  </si>
  <si>
    <t>G06V10/82; G06T7/70; G06V10/25; G06V10/44; G06V10/764; G06V10/774; G06V2201/07</t>
  </si>
  <si>
    <t>WO2022211995 A1</t>
  </si>
  <si>
    <t>18/272754</t>
  </si>
  <si>
    <t>Savvides, Marios; Zhu, Chenchen; Chen, Fangyi; Zhang, Han</t>
  </si>
  <si>
    <t>G06V10/82; G06T7/70; G06V10/25; G06V10/44; G06V10/764; G06V10/774</t>
  </si>
  <si>
    <t>US20240303979A1</t>
  </si>
  <si>
    <t>SYSTEM AND METHOD FOR REDUCING FALSE POSITIVES IN OBJECT DETECTION FRAMEWORKS</t>
  </si>
  <si>
    <t>Disclosed herein is a system and method for reducing false positives in object detection frameworks. A human form view of objects detected by the object detection framework and indicates the object is a false positive. When an indication of a false positive been received, a feature representation of displayed object stored in the gallery. During an inference or testing phase, the gallery is searched for a feature representation matching the feature representation of the detected objects, and, if a match is found, the detected object is deemed to be a false positive and is not displayed to the user.</t>
  </si>
  <si>
    <t>G06V10/82; G06V10/757; G06V10/7788</t>
  </si>
  <si>
    <t>WO2022177928 A1</t>
  </si>
  <si>
    <t>18/273183</t>
  </si>
  <si>
    <t>Savvides, Marios; Ahmed, Uzair</t>
  </si>
  <si>
    <t>Response to Non-Final Office Action Entered and Forwarded to Examiner</t>
  </si>
  <si>
    <t>US10115004B2</t>
  </si>
  <si>
    <t>Methods and software for hallucinating facial features by prioritizing reconstruction errors</t>
  </si>
  <si>
    <t>Identifying a masked suspect is one of the toughest challenges in biometrics that exist. This is an important problem faced in many law-enforcement applications on almost a daily basis. In such situations, investigators often only have access to the periocular region of a suspect's face and, unfortunately, conventional commercial matchers are unable to process these images in such a way that the suspect can be identified. Herein, a practical method to hallucinate a full frontal face given only a periocular region of a face is presented. This approach reconstructs the entire frontal face based on an image of an individual's periocular region. By using an approach based on a modified sparsifying dictionary learning algorithm, faces can be effectively reconstructed more accurately than with conventional methods. Further, various methods presented herein are open set, and thus can reconstruct faces even if the algorithms are not specifically trained using those faces.</t>
  </si>
  <si>
    <t>Carnegie Mellon University</t>
  </si>
  <si>
    <t>G06N20/00; G06F18/28; G06T5/73; G06T5/77; G06V10/772; G06V40/168; G06V40/171; G06V40/172; G06T2207/20081; G06T2207/30201</t>
  </si>
  <si>
    <t>US20170046562 A1; WO2015195827 A1</t>
  </si>
  <si>
    <t>15/307099</t>
  </si>
  <si>
    <t>US20170046562 A1</t>
  </si>
  <si>
    <t>Juefei-xu, Felix; Pal, Dipan K.; Savvides, Marios</t>
  </si>
  <si>
    <t>G06N20/00; G06F18/28; G06T5/73; G06T5/77; G06V10/772; G06V40/168; G06V40/171; G06V40/172</t>
  </si>
  <si>
    <t>SAMSUNG ELECTRONICS (10); STATE UNIV NEW YORK SUNY (2); CORETRONIC CORP (1); FACEBOOK INC (1); MEDIUM INTENSITY PHOTOELECTRIC SHARE LTD CO (1)</t>
  </si>
  <si>
    <t>US10354362B2</t>
  </si>
  <si>
    <t>Methods and software for detecting objects in images using a multiscale fast region-based convolutional neural network</t>
  </si>
  <si>
    <t>Methods of detecting an object in an image using a convolutional neural network based architecture that processes multiple feature maps of differing scales from differing convolution layers within a convolutional network to create a regional-proposal bounding box. The bounding box is projected back to the feature maps of the individual convolution layers to obtain a set of regions of interest. These regions of interest are then processed to ultimately create a confidence score representing the confidence that the object detected in the bounding box is the desired object. These processes allow the method to utilize deep features encoded in both the global and the local representation for object regions, allowing the method to robustly deal with challenges in the problem of robust object detection. Software for executing the disclosed methods within an object-detection system is also disclosed.</t>
  </si>
  <si>
    <t>G06V10/82; G06F16/50; G06F18/214; G06F18/24; G06F18/24137; G06T3/4046; G06V10/764; G06F18/21326; G06T2207/20084; G06T2210/12</t>
  </si>
  <si>
    <t>US20180096457 A1</t>
  </si>
  <si>
    <t>15/698887</t>
  </si>
  <si>
    <t>Savvides, Marios; Luu, Khoa; Zheng, Yutong; Zhu, Chenchen</t>
  </si>
  <si>
    <t>G06V10/82; G06F16/50; G06F18/214; G06F18/24; G06F18/24137; G06T3/4046; G06V10/764</t>
  </si>
  <si>
    <t>STRADVISION INC (22); INTEL CORP (9); TENCENT TECH SCHENZHEN CO (4); IBM (3); SNAP INC (3); AETHERAI IP HOLDING LLC (2); BAIDU ON LINE NETWORK TECH BEIJING CO (2); BEIJING KUANGSHI TECH CO (2); BEIJING SENSETIME TECH DEV CO (2); CAPITAL ONE FINANCIAL CORP (2)</t>
  </si>
  <si>
    <t>US20210034952A1</t>
  </si>
  <si>
    <t>PERTURBATIVE NEURAL NETWORK</t>
  </si>
  <si>
    <t>Perturbative neural networks are comprised of one or more modules, called perturbation layers which can be used as an alternative to a convolutional layer. The perturbation layer does away with convolution in the traditional sense and instead computes its response as a weighted linear combination of non-linearly activated additive noise perturbed inputs.</t>
  </si>
  <si>
    <t>G06N3/084; G06N3/045; G06N3/0464; G06N3/048; G06N3/0495</t>
  </si>
  <si>
    <t>WO2019210294 A1</t>
  </si>
  <si>
    <t>16/976398</t>
  </si>
  <si>
    <t>US20240161469A1</t>
  </si>
  <si>
    <t>Methods Using Selective Query Recollection for Enhanced Training of Query-Based Object Detectors</t>
  </si>
  <si>
    <t>Disclosed herein are training strategies for query-based object detectors, referred to herein as Query Recollection (QR). In one variation or QR, dense query recollection, every intermediate query is collected and independently forwarded to every downstream stage. In a second variation or QR, selective query recollection, intermediate queries are collected from the two nearest previous stages and forwarded to the next downstream stage. This eliminates the phenomena wherein intermediate stages of the decoder produce more accurate results than later stages of the decoder.</t>
  </si>
  <si>
    <t>G06V10/82; G06V10/764; G06V10/774</t>
  </si>
  <si>
    <t>18/508328</t>
  </si>
  <si>
    <t>Chen, Fangyi; Savvides, Marios; Zhang, Han; HU, Kai</t>
  </si>
  <si>
    <t>US12165068B2</t>
  </si>
  <si>
    <t>Convex feature normalization for face recognition</t>
  </si>
  <si>
    <t>A method of training a deep neural network, such as would be used in facial recognition, includes training the deep neural network to normalize feature vectors to a learned value representing the radius of a multi-dimensional hypersphere using a convex augmentation of the primary loss function.</t>
  </si>
  <si>
    <t>G06F7/544; G06F17/16; G06N3/084; G06F2207/4824; G06V40/168</t>
  </si>
  <si>
    <t>CA3091359 A1; EP3759586 A1; EP3759586 A4; US20210034984 A1; US20250103889 A1; WO2019169155 A1</t>
  </si>
  <si>
    <t>16/968040</t>
  </si>
  <si>
    <t>US20210034984 A1</t>
  </si>
  <si>
    <t>Savvides, Marios; Pal, Dipan Kumar; Zheng, Yutong</t>
  </si>
  <si>
    <t>G06F7/544; G06F17/16; G06N3/084</t>
  </si>
  <si>
    <t>UNIV CARNEGIE MELLON (2); BANK OF SHANGHAI CO (1); JPMORGAN CHASE BANK NA (1); TATA CONSULTANCY SERVICES LTD (1)</t>
  </si>
  <si>
    <t>US12266156B2</t>
  </si>
  <si>
    <t>System and method for solving missing annotation object detection</t>
  </si>
  <si>
    <t>Disclosed herein is a system and method for improving the accuracy of an object detector when trained with a dataset having a significant number of missing annotations. The method uses a novel Background Recalibration Loss (BRL) which adjusts the gradient direction according to its own activation to reduce the adverse effect of error signals by replacing the negative branch of the focal loss with a mirror of the positive branch when the activation is below a confusion threshold.</t>
  </si>
  <si>
    <t>G06V10/774</t>
  </si>
  <si>
    <t>US20220262101 A1</t>
  </si>
  <si>
    <t>17/670737</t>
  </si>
  <si>
    <t>Savvides, Marios; Shen, Zhiqiang; Chen, Fangyi; Zhang, Han</t>
  </si>
  <si>
    <t>US12327338B2</t>
  </si>
  <si>
    <t>Methods for improving datasets for skeleton-based action detection</t>
  </si>
  <si>
    <t>Disclosed here are various techniques for improving the testing and training of datasets comprising sequences of skeletal representations performing various actions. The dataset can be denoised by applying various techniques to determine noisy frames within each sequence and eliminating the sequences from the dataset when the number of noisy frames in the sequence is too large. In addition, the dataset may be augmented by various data augmentation techniques to manipulate the skeletal representations, after denoising.</t>
  </si>
  <si>
    <t>CARNEGIE MELLON UNIVERSITY; AnyVision Interactive Technologies, Ltd.</t>
  </si>
  <si>
    <t>G06V40/23; G06T3/4007; G06T3/60; G06T5/20; G06T5/70; G06T7/20; G06T7/60; G06V10/82; G06V10/86; G06T2207/20032; G06T2207/20044</t>
  </si>
  <si>
    <t>US20240135503 A1; US20240233095 A9</t>
  </si>
  <si>
    <t>18/491258</t>
  </si>
  <si>
    <t>Savvides, Marios; Huang, Yu Kai; Yu, Eddie</t>
  </si>
  <si>
    <t>G06V40/23; G06T3/4007; G06T3/60; G06T5/20; G06T5/70; G06T7/20; G06T7/60; G06V10/82; G06V10/86</t>
  </si>
  <si>
    <t>TIANJIN ZHIXIN RAIL TRANSIT OPERATION CO (1)</t>
  </si>
  <si>
    <t>US20250181972A1</t>
  </si>
  <si>
    <t>FINE-TUNING OF TRANSDUCTIVE FEW-SHOT LEARNING METHODS USING MARGIN-BASED UNCERTAINTY WEIGHTING AND PROBABILITY REGULARIZATION</t>
  </si>
  <si>
    <t>Disclosed herein is a novel method for improving transductive fine-tuning for few-shot learning using margin-based uncertainty weighting and probability regularization. Margin-based uncertainty is designed to assign low loss weights for wrongly predicted samples and high loss weights for the correct ones. Probability regularization provides for the probability of each testing sample being adjusted by a scale vector, which quantifies the difference between the class marginal distribution and the uniform.</t>
  </si>
  <si>
    <t>G06N20/00</t>
  </si>
  <si>
    <t>WO2024091317 A2; WO2024091317 A3</t>
  </si>
  <si>
    <t>18/868074</t>
  </si>
  <si>
    <t>Savvides, Marios; Tao, Ran; Chen, Hao</t>
  </si>
  <si>
    <t>US9311564B2</t>
  </si>
  <si>
    <t>Face age-estimation and methods, systems, and software therefor</t>
  </si>
  <si>
    <t>Age-estimation of a face of an individual is represented in image data. In one embodiment, age-estimation techniques involves combining a Contourlet Appearance Model (CAM) for facial-age feature extraction and Support Vector Regression (SVR) for learning aging rules in order to improve the accuracy of age-estimation over the current techniques. In a particular example, characteristics of input facial images are converted to feature vectors by CAM, then these feature vectors are analyzed by an aging-mechanism-based classifier to estimate whether the images represent faces of younger or older people prior to age-estimation, the aging-mechanism-based classifier being generated in one embodiment by running Support Vector Machines (SVM) on training images. In an exemplary binary youth/adult classifier, faces classified as adults are passed to an adult age-estimation function and the others are passed to a youth age-estimation function.</t>
  </si>
  <si>
    <t>G06V40/16; G06F18/214; G06V40/178</t>
  </si>
  <si>
    <t>US20140099029 A1</t>
  </si>
  <si>
    <t>14/046632</t>
  </si>
  <si>
    <t>Savvides, Marios; Seshadri, Keshav; Luu, Khoa</t>
  </si>
  <si>
    <t>G06V40/16; G06F18/214</t>
  </si>
  <si>
    <t>WEST TEXAS TECH PARTNERS LLC (5); KOREA INST SCI &amp; TECH (4); SAMSUNG ELECTRONICS (4); TRUINJECT CORP (4); SONY CORP (3); BEIJING SENSETIME TECH DEV CO (2); CRESCOM CO (2); GUANGDONG OPPO MOBILE TELECOM (2); NOBLIS INC (2); UNIV OSAKA (2)</t>
  </si>
  <si>
    <t>US12026226B2</t>
  </si>
  <si>
    <t>Few-shot object detection using semantic relation reasoning</t>
  </si>
  <si>
    <t>Disclosed herein is an improved few-shot detector which utilizes semantic relation reasoning to learn novel objects from both visual information and the semantic relation of base class objects Specifically, a semantic space is constructed using word embeddings. Guided by the word embeddings of the classes, the detector is trained to project the objects from the visual space to the semantic space and to align their image representations with the corresponding class embeddings.</t>
  </si>
  <si>
    <t>G06N3/08; G06F18/2136; G06N3/04; G06N3/042; G06N3/045; G06N3/0464; G06N3/09; G06N5/02; G06N5/022; G06V10/774; G06V20/70</t>
  </si>
  <si>
    <t>US20220058432 A1</t>
  </si>
  <si>
    <t>17/408674</t>
  </si>
  <si>
    <t>SAMSUNG ELECTRONICS (2); GUANGXI NORMAL UNIV (1); HARBIN UNIV OF SCIENCE &amp; TECH (1); INST OF AUTOMATION CHINESE ACADEMY OF SCIENCES (1); NANJING AERONAUTICS &amp; ASTRONAUTICS UNIV (1); NATIONAL UNIV OF DEFENSE TECH PLA (1); TIANJIN NORMAL UNIV (1); TSINGHUA SHENZHEN INT GRADUATE SCHOOL (1); UNIV ZHEJIANG GONGSHANG (1); ZHEJIANG LAB (1)</t>
  </si>
  <si>
    <t>US12136155B2</t>
  </si>
  <si>
    <t>System and method for photorealistic image synthesis using unsupervised semantic feature disentanglement</t>
  </si>
  <si>
    <t>Disclosed herein is a method to disentangle linear-encoded facial semantics from facial images without external supervision. The method uses linear regression and sparse representation learning concepts to make the disentangled latent representations easily interpreted and manipulated. Generated facial images are decomposed into multiple semantic features and latent representations are extracted to capture interpretable facial semantics. The semantic features may be manipulated to synthesize photorealistic facial images by sampling along vectors representing the semantic features, thereby changing the associate semantics.</t>
  </si>
  <si>
    <t>G06T11/00; G06N3/045; G06N3/047; G06N3/0475; G06N3/0495; G06N3/088; G06N3/0895; G06N3/094; G06T11/60; G06T9/00; G06V10/44; G06V40/171</t>
  </si>
  <si>
    <t>US20240062441 A1; WO2022173814 A1</t>
  </si>
  <si>
    <t>18/269721</t>
  </si>
  <si>
    <t>US20240062441 A1</t>
  </si>
  <si>
    <t>Zheng, Yutong; Savvides, Marios; Huang, Yu Kai</t>
  </si>
  <si>
    <t>HEFEI ANDA CHUANGZHAN TECH CO (1); YANTAI UNIV (1)</t>
  </si>
  <si>
    <t>US20240054764A1</t>
  </si>
  <si>
    <t>SYSTEM AND METHOD FOR UNSUPERVISED OBJECT DEFORMATION USING FEATURE MAP-LEVEL DATA AUGMENTATION</t>
  </si>
  <si>
    <t>Disclosed herein is a methodology implementing feature map-level data augmentation in a feature map. Two or more units in the feature map are selected and the values of locations in the two or more units are swapped among the two or more units. Value perturbations applied around local units in the feature map implicitly lead to an unused data augmentation at the image level.</t>
  </si>
  <si>
    <t>G06V10/82; G06N3/045; G06N3/0464; G06N3/08; G06N3/09; G06V10/771; G06V10/778</t>
  </si>
  <si>
    <t>WO2022173665 A1</t>
  </si>
  <si>
    <t>18/267543</t>
  </si>
  <si>
    <t>Tao, Ran; Savvides, Marios; Zhang, Han</t>
  </si>
  <si>
    <t>Final Rejection Mailed</t>
  </si>
  <si>
    <t>US20230368038A1</t>
  </si>
  <si>
    <t>IMPROVED FINE-TUNING STRATEGY FOR FEW SHOT LEARNING</t>
  </si>
  <si>
    <t>Disclosed herein is a method providing a flexible way to transfer knowledge from base to novel classes in a few shot learning scenario. The invention introduces a partial transfer paradigm for the few-shot classification task in which a model is first trained on the base classes. Then, instead of transferring the learned representation by freezing the whole backbone network, an efficient evolutionary search method is used to automatically determine which layer or layers need to be frozen and which will be fine-tuned on the support set of the novel class.</t>
  </si>
  <si>
    <t>G06V10/82; G06N3/086; G06N3/126; G06V10/776</t>
  </si>
  <si>
    <t>WO2022169625 A1</t>
  </si>
  <si>
    <t>18/009860</t>
  </si>
  <si>
    <t>Shen, Zhiqiang; Liu, Zechun; Savvides, Marios</t>
  </si>
  <si>
    <t>EMC IP HOLDING CO (1); HUAWEI TECH CO (1); JIANGSU JINZHUO NEW MATERIAL TECH CO (1); LOGITECH CO (1); NEC LABS AMERICA INC (1)</t>
  </si>
  <si>
    <t>US12182707B2</t>
  </si>
  <si>
    <t>System and method for the discovering efficient random neural networks</t>
  </si>
  <si>
    <t>Disclosed herein is a system and method for novel neural architecture search using a random graph network backbone to facilitate the creation of an efficient network structure. The method utilizes reinforcement learning algorithms to build a complex relationship between intra-connections (i.e., links between blocks in a random graph network) and extra-connections (i.e., links among blocks across the random graphs network) for discovering an efficient random neural architecture.</t>
  </si>
  <si>
    <t>G06N3/04; G06N3/006; G06N3/0464; G06N3/0495; G06N3/08; G06N3/082; G06N3/09; G06N3/092; G06N3/0985; G06N7/01</t>
  </si>
  <si>
    <t>US20240095523 A1; WO2022178200 A1</t>
  </si>
  <si>
    <t>18/272747</t>
  </si>
  <si>
    <t>US20240095523 A1</t>
  </si>
  <si>
    <t>Savvides, Marios; Phan, Thanh Hai; Shen, Zhiqiang; Chawla, Akshay</t>
  </si>
  <si>
    <t>US20240355085A1</t>
  </si>
  <si>
    <t>System And Method For Matching Products And Determining Spreads And Plugs</t>
  </si>
  <si>
    <t>Disclosed herein is a system and method for matching products detected in an image of a shelf. The match or non-match of the products is then used to make a determination that the products are correctly positioned on the shelf of if the positioning of the products represents a plug or spread situation.</t>
  </si>
  <si>
    <t>US11915463 B2; US20220058425 A1</t>
  </si>
  <si>
    <t>18/587200</t>
  </si>
  <si>
    <t>US20240320964A1</t>
  </si>
  <si>
    <t>SYSTEM AND METHOD FOR CLASS-IDENTITY-PRESERVING DATA AUGMENTATION</t>
  </si>
  <si>
    <t>Disclosed herein is a system and method for data augmentation for general object recognition which preserves the class identity of the augmented data. The system comprises an image recognition network an image generation network that take as input ground truth images and classes respectively and which generates a predicted class and an augmented image. A discriminator evaluates the predicted class and augmented image and provides feedback to the image recognition network and the image generation network.</t>
  </si>
  <si>
    <t>G06V10/82; G06V40/172</t>
  </si>
  <si>
    <t>WO2022173820 A2; WO2022173820 A3</t>
  </si>
  <si>
    <t>18/259477</t>
  </si>
  <si>
    <t>Savvides, Marios; Zheng, Yutong; Huang, Yu Kai</t>
  </si>
  <si>
    <t>US10354159B2</t>
  </si>
  <si>
    <t>Methods and software for detecting objects in an image using a contextual multiscale fast region-based convolutional neural network</t>
  </si>
  <si>
    <t>Methods of detecting an object in an image using a convolutional neural-network-based architecture that processes multiple feature maps of differing scales from differing convolution layers within a convolutional network to create a regional-proposal bounding box. The bounding box is projected back to the feature maps of the individual convolution layers to obtain a set of regions of interest (ROIs) and a corresponding set of context regions that provide additional context for the ROIs. These ROIs and context regions are processed to create a confidence score representing a confidence that the object detected in the bounding box is the desired object. These processes allow the method to utilize deep features encoded in both the global and the local representation for object regions, allowing the method to robustly deal with challenges in the problem of object detection. Software for executing the disclosed methods within an object-detection system is also disclosed.</t>
  </si>
  <si>
    <t>G06V40/161; G06F18/24143; G06N3/045; G06N3/0464; G06N3/09; G06V10/25; G06V10/454; G06V10/764; G06V10/82; G06N3/084</t>
  </si>
  <si>
    <t>US20180068198 A1</t>
  </si>
  <si>
    <t>15/697015</t>
  </si>
  <si>
    <t>Savvides, Marios; Luu, Khoa; Zhu, Chenchen</t>
  </si>
  <si>
    <t>G06V40/161; G06F18/24143; G06N3/045; G06N3/0464; G06N3/09; G06V10/25; G06V10/454; G06V10/764; G06V10/82</t>
  </si>
  <si>
    <t>STRADVISION INC (14); TUNGSTEN AUTOMATION CORP (9); HUAWEI TECH CO (4); GUANGDONG OPPO MOBILE TELECOM (3); INTEL CORP (3); TENCENT TECH SCHENZHEN CO (3); ADOBE INC (2); GYRFALCON TECH INC (2); IBM (2); INDUSTRIAL TECH RES INST ITRI (2)</t>
  </si>
  <si>
    <t>US11748853B2</t>
  </si>
  <si>
    <t>Method and architecture for blind image deconvolution</t>
  </si>
  <si>
    <t>Disclosed herein is a method for performing blind deconvolutions of blurred images. The method approximates the proximal operators for the data fidelity term and the prior term of a minimization function using trained neural networks and solves the minimization using iterations of the Douglas-Rachford algorithm.</t>
  </si>
  <si>
    <t>G06T5/73; G06T1/20; G06T11/005; G06T11/006; G06T5/50; G06T5/60; G06T5/70; G06T2207/20024; G06T2207/20081; G06T2207/20084; G06T2207/20182; G06T2207/20201; G06T2211/424</t>
  </si>
  <si>
    <t>US20210334939 A1</t>
  </si>
  <si>
    <t>17/241379</t>
  </si>
  <si>
    <t>Savvides, Marios; Aljadaany, Raied; Pal, Dipan Kumar</t>
  </si>
  <si>
    <t>G06T5/73; G06T1/20; G06T11/005; G06T11/006; G06T5/50; G06T5/60; G06T5/70</t>
  </si>
  <si>
    <t>NANJING UNIV (1); NINGBO TIANYIGE MUSEUM (1); UNIV BEIJING TECH (1); ZHEJIANG UNIV (1)</t>
  </si>
  <si>
    <t>US8861800B2</t>
  </si>
  <si>
    <t>Rapid 3D face reconstruction from a 2D image and methods using such rapid 3D face reconstruction</t>
  </si>
  <si>
    <t>Creating a 3D face reconstruction model using a single 2D image and a generic facial depth map that provides depth information. In one example, the generic facial depth map is selected based on gender and ethnicity/race. In one embodiment, a set of facial features of the 2D image is mapped to create a facial-feature map, and a 2D mesh is created using the map. The same set of facial features is also mapped onto a generic facial depth map, and a 3D mesh is created therefrom. The 2D image is then warped by transposing depth information from the 3D mesh of the generic facial depth map onto the 2D mesh of the 2D image so as to create a reconstructed 3D model of the face. The reconstructed 3D model can be used, for example, to create one or more synthetic off-angle-pose images of the subject of the original 2D image.</t>
  </si>
  <si>
    <t>G06T17/00; G06V20/64; G06V40/171</t>
  </si>
  <si>
    <t>US20120183238 A1</t>
  </si>
  <si>
    <t>13/186057</t>
  </si>
  <si>
    <t>Savvides, Marios; Heo, Jingu</t>
  </si>
  <si>
    <t>TRUINJECT CORP (11); LUXOTTICA (8); MOODME BELGIUM SPRL (5); SAMSUNG ELECTRONICS (4); TRUINJECT MEDICAL CORP (4); ALIBABA GROUP HOLDING (3); DITTO TECH INC (3); GOOGLE INC (3); INTEL CORP (3); MICROSOFT TECH LICENSING LLC (3)</t>
  </si>
  <si>
    <t>US10121055B1</t>
  </si>
  <si>
    <t>Method and system for facial landmark localization</t>
  </si>
  <si>
    <t>This invention describes methods and systems for the automated facial landmark localization. Our approach proceeds from sparse to dense landmarking steps using a set of models to best account for the shape and texture variation manifested by facial landmarks across pose and expression. We also describe the use of an l1-regularized least squares approach that we incorporate into our shape model, which is an improvement over the shape model used by several prior Active Shape Model (ASM) based facial landmark localization algorithms.</t>
  </si>
  <si>
    <t>G06V40/165; G06F18/2113; G06V10/462; G06V10/771</t>
  </si>
  <si>
    <t>15/259143</t>
  </si>
  <si>
    <t>Savvides, Marios; Seshadri, Keshav Thirumalai</t>
  </si>
  <si>
    <t>SNAP INC (11); SHISEIDO CO (4); ZHEJIANG DAHUA TECH CO (2); BOE TECH GROUP CO (1); INSURANCE SERVICES OFFICE INC (1); SHENZHEN HUANJIAO TIANSHENG INTELLIGENT SCIENCE &amp; TECH LTD CO (1); SNAPCHAT INC (1); UNIV CARNEGIE MELLON (1); UNIV NAT CHENG KUNG (1); ZHEJIANG UNIV (1)</t>
  </si>
  <si>
    <t>B1</t>
  </si>
  <si>
    <t>US12437258B2</t>
  </si>
  <si>
    <t>System and method for identifying products in a shelf management system</t>
  </si>
  <si>
    <t>Disclosed herein is a system and method of identifying products on a retail shelf using a feature extractor trained to extract features from images of products on the shelf and output identifying information regarding the product in the product image. The extracted features are compared to extracted features in a feature gallery library and a best fit match is obtained. A product ID is then assigned to the image of the product and the assigned product ID is validated by matching the product ID with product identifying information extracted from a shelf label associated with the image of the product.</t>
  </si>
  <si>
    <t>G06Q10/087; G06F16/583; G06F18/22; G06V10/751; G06V10/82; G06V20/52; H04N7/181; H04N23/45; H04N23/56; H04N23/90; H04N5/28</t>
  </si>
  <si>
    <t>US20220051179 A1</t>
  </si>
  <si>
    <t>17/506115</t>
  </si>
  <si>
    <t>Savvides, Marios; Ahmed, Uzair; Nallamothu, Sreena; Kannan, Magesh; Das, Abhishek</t>
  </si>
  <si>
    <t>G06Q10/087; G06F16/583; G06F18/22; G06V10/751; G06V10/82; G06V20/52; H04N7/181</t>
  </si>
  <si>
    <t>WALMART APOLLO LLC (18); NCR VOYIX CORP (2); AMAZON TECH INC (1); FOCAL SYSTEMS INC (1); NEC CORP (1); OPEX CORP (1); OVH (1); PEPSICO INC (1); SAMSUNG ELECTRONICS (1); SONY GROUP CORP (1)</t>
  </si>
  <si>
    <t>US20250278988A1</t>
  </si>
  <si>
    <t>SYSTEM AND METHOD FOR SHRINKAGE DETECTION AND PREVENTION IN SELF-CHECKOUT SYSTEMS</t>
  </si>
  <si>
    <t>Disclosed herein is a novel system and method to reduce theft and errors in the self-checkout process. The system and methods disclosed herein reconcile purchased products with receipts for those products by corresponding, analyzing, and/or comparing information on self-checkout transaction receipts with captured images of purchase products from camera feeds to ensure that all products purchased via a self-checkout system have been properly scanned and accounted for.</t>
  </si>
  <si>
    <t>G06V10/25; G06Q20/203; G06Q20/208; G06T7/73; G06V10/26; G06V10/44; G06V10/761; G06V10/94; G06V20/52; G07G1/0045; G07G1/0063; G07G3/003</t>
  </si>
  <si>
    <t>19/210451</t>
  </si>
  <si>
    <t>Savvides, Marios; Kannan, Magesh</t>
  </si>
  <si>
    <t>US12217339B2</t>
  </si>
  <si>
    <t>Multiple hypothesis transformation matching for robust verification of object identification</t>
  </si>
  <si>
    <t>A method for increasing the confidence of a match between a test image and an image stored in a library database in which features are extracted from the test image and compared to features stored in the image database. If a match is determined, one or more transformations are performed on the test image to generate pose-altered images from which features are extracted and matched with pose-altered images in the database. The scores for the subsequent matchings can be aggregated to determine an overall probability of a match between the test image in an image in the library database.</t>
  </si>
  <si>
    <t>US20240071024 A1; US20250292469 A1; US20240104893 A1; US11900516 B2; US20250182363 A1; US20240013457 A1; US12322012 B2; WO/2022/212238 A1; WO/2022/212804 A1; WO/2022/212618 A1</t>
  </si>
  <si>
    <t>18/272298</t>
  </si>
  <si>
    <t>US20240104893 A1</t>
  </si>
  <si>
    <t>UNIV CARNEGIE MELLON (1)</t>
  </si>
  <si>
    <t>US11854245B2</t>
  </si>
  <si>
    <t>Generative adversarial networks having ranking loss</t>
  </si>
  <si>
    <t>The invention specifies a method of improving a subsequent iterations of a generative network by adding a ranking loss to the total loss for the network, the ranking loss representing the marginalized difference between a discriminator score for a generated image in one iteration of the generative network and the discriminator score for a real image from a subsequent iteration of the generative network.</t>
  </si>
  <si>
    <t>G06V10/82; G06F17/11; G06F18/2113; G06F18/22; G06N20/20; G06N3/045; G06N3/0455; G06N3/0464; G06N3/047; G06N3/0475; G06N3/08; G06N3/084; G06N3/088; G06N3/094; G06V10/454; G06V10/761; G06V40/168</t>
  </si>
  <si>
    <t>US20210049464 A1; WO2019210303 A1</t>
  </si>
  <si>
    <t>16/976417</t>
  </si>
  <si>
    <t>US20210049464 A1</t>
  </si>
  <si>
    <t>G06V10/82; G06F17/11; G06F18/2113; G06F18/22; G06N20/20; G06N3/045; G06N3/0455; G06N3/0464; G06N3/047; G06N3/0475; G06N3/08; G06N3/084; G06N3/088; G06N3/094; G06V10/454; G06V10/761</t>
  </si>
  <si>
    <t>IBM (1); INST OF INFORMATION ENG CAS (1)</t>
  </si>
  <si>
    <t>US11954175B2</t>
  </si>
  <si>
    <t>Feature pyramids for object detection</t>
  </si>
  <si>
    <t>Disclosed herein is an improvement to prior art feature pyramids for general object detection that inserts a simple norm calibration (NC) operation between the feature pyramids and detection head to alleviate and balance the norm bias caused by feature pyramid network (FPN) and which leverages an enhanced multi-feature selective strategy (MS) during training to assign the ground-truth to one or more levels of the feature pyramid.</t>
  </si>
  <si>
    <t>G06V10/454; G06F18/2148; G06F18/2431; G06N20/00; G06N3/045; G06N3/0464; G06N3/084; G06N3/09; G06N5/04; G06V10/52</t>
  </si>
  <si>
    <t>US20220044073 A1</t>
  </si>
  <si>
    <t>17/386879</t>
  </si>
  <si>
    <t>Chen, Fangyi; Zhu, Chenchen; Shen, Zhiqiang; Zhang, Han; Savvides, Marios</t>
  </si>
  <si>
    <t>BEIJING SATELLITE INFORMATION ENG INST (1); HARBIN KEJIA GENERAL MECHANICAL &amp; ELECTRICAL CO (1); LANTU JISI ECOLOGICAL TECH GROUP CO (1); SHANDONG NORMAL UNIV (1)</t>
  </si>
  <si>
    <t>US20250005881A1</t>
  </si>
  <si>
    <t>SYSTEM AND METHOD FOR ASSIGNING COMPLEX CONCAVE POLYGONS AS BOUNDING BOXES</t>
  </si>
  <si>
    <t>Disclosed herein is a system and method for generating complex, concave polygonal bonding boxes which tightly cover the most representative faces of retail products having arbitrary poses. The polygonal bounding boxes do not include unnecessary background information or miss parts of the objects, as would the axis-aligned or rotated bounding boxes produced by prior art detectors. A simple projection transformation can correct the pose of products for downstream tasks.</t>
  </si>
  <si>
    <t>G06V10/25; G06T7/11; G06T7/73; G06V10/72; G06V10/764; G06V10/766; G06V10/7715; G06V10/82; G06V20/60; G06T2207/20081; G06T2207/20084</t>
  </si>
  <si>
    <t>WO2023107599 A1</t>
  </si>
  <si>
    <t>18/709685</t>
  </si>
  <si>
    <t>Savvides, Marios; Ahmed, Uzair; Chen, Fangyi; Zhang, Han</t>
  </si>
  <si>
    <t>G06V10/25; G06T7/11; G06T7/73; G06V10/72; G06V10/764; G06V10/766; G06V10/7715; G06V10/82; G06V20/60</t>
  </si>
  <si>
    <t>US20200410210A1</t>
  </si>
  <si>
    <t>POSE INVARIANT FACE RECOGNITION</t>
  </si>
  <si>
    <t>The disclosed method generates a pose invariant feature by normalizing off-angle faces to generate a pose invariant input image. Any face recognition mode can be used with this pre processing step. In this method, method, the 3D Spatial Transformer Networks is used to extract a 3D model of the face from an input at any pose.</t>
  </si>
  <si>
    <t>G06T17/00; G06T19/20; G06V20/647; G06V40/16; G06V40/161; G06V40/50; G06T2219/2004</t>
  </si>
  <si>
    <t>WO2019178054 A1</t>
  </si>
  <si>
    <t>16/976389</t>
  </si>
  <si>
    <t>Savvides, Marios; Bhagavatula, Chandrasekhar; Duong, Chi Nhan</t>
  </si>
  <si>
    <t>G06T17/00; G06T19/20; G06V20/647; G06V40/16; G06V40/161; G06V40/50</t>
  </si>
  <si>
    <t>BEIJING QIXING TECH CO (1)</t>
  </si>
  <si>
    <t>US9916685B1</t>
  </si>
  <si>
    <t>System and method for depth-recovery of a face in an image</t>
  </si>
  <si>
    <t>A system and method for providing a fast, efficient and accurate method for recovery of depth information from a single image of a face is disclosed. The technique uses a novel thin-plate spline-based dense-correspondence method to align the face, and the representation incorporates a weighted framework, interpreting the depth recovery problem as a weighted data problem.</t>
  </si>
  <si>
    <t>G06T17/00; G06T17/10; G06T7/50; G06T2207/10004; G06T2207/10016; G06T2207/20076; G06T2207/30201</t>
  </si>
  <si>
    <t>15/140842</t>
  </si>
  <si>
    <t>Prabhu, Utsav; Savvides, Marios</t>
  </si>
  <si>
    <t>G06T17/00; G06T17/10; G06T7/50</t>
  </si>
  <si>
    <t>GOOGLE INC (2); NVIDIA CORP (1)</t>
  </si>
  <si>
    <t>US20240013032A1</t>
  </si>
  <si>
    <t>BINARY NEURAL NETWORKS WITH GENERALIZED ACTIVATION FUNCTIONS</t>
  </si>
  <si>
    <t>Disclosed herein is a design for a 1-bit CNN that closes the performance gap between binary neural networks and real-valued networks on challenging large-scale datasets. The design starts with a high-performance baseline network. Blocks with identity shortcuts which bypass 1-bit generic convolutions are adopted to replace the convolutions in the baseline network. Reshaping and shifting of activation functions is introduced. Finally, a distributional loss to further is adopted enforce the binary network to learn similar output distributions as those of a real-valued network.</t>
  </si>
  <si>
    <t>G06N3/084; G06N3/045; G06N3/0464; G06N3/048; G06N3/0495; G06N3/09</t>
  </si>
  <si>
    <t>WO2022169636 A1</t>
  </si>
  <si>
    <t>18/008237</t>
  </si>
  <si>
    <t>US20240062532A1</t>
  </si>
  <si>
    <t>SYSTEM AND METHOD FOR LOCAL SPATIAL FEATURE POOLING FOR FINE-GRAINED REPRESENTATION LEARNING</t>
  </si>
  <si>
    <t>Disclosed herein is a system and method for pooling local features for fine-grained image classification. The deep features learned by the deep network are augmented with low level local landmark features by learning a pooling strategy that pools landmark features from earlier layers of the deep network. These low level landmark features are combined with the deep features and sent to the classifier.</t>
  </si>
  <si>
    <t>G06V10/82; G06N3/0464; G06N3/0895; G06V10/454; G06V10/462; G06V10/764; G06V10/7715; G06V10/806</t>
  </si>
  <si>
    <t>WO2022177925 A1</t>
  </si>
  <si>
    <t>18/259479</t>
  </si>
  <si>
    <t>UNIV BEIJING POSTS &amp; TELECOMM (1)</t>
  </si>
  <si>
    <t>US10002286B1</t>
  </si>
  <si>
    <t>System and method for face recognition robust to multiple degradations</t>
  </si>
  <si>
    <t>A novel, unified technique for analyzing, synthesizing, and recognizing faces captured by various modalities, and under a variety of often seen real-world circumstances, using thin-plate splines for densification of points of a face from an initial set of fiducial points.</t>
  </si>
  <si>
    <t>G06V40/168; G06F16/51; G06F16/583; G06V10/70; G06V40/172</t>
  </si>
  <si>
    <t>15/140857</t>
  </si>
  <si>
    <t>IDENTITYCARE INC (6); BEIJING DAJIA INTERNET INFORMATION TECH CO (3); DIGITAL SURGERY LTD (3); UNIV SICHUAN (2); 11967134 CANADA LTD (1); BEIJING DILUSENSE TECH CO (1); CHENGDU RES BASE OF GIANT PANDA (1); FORD GLOBAL TECH LLC (1); GLOBAL ENG RES &amp; TECH LLC (1); HEFEI DILUSENSE TECH CO (1)</t>
  </si>
  <si>
    <t>US12131260B2</t>
  </si>
  <si>
    <t>Discriminative cosine embedding in machine learning</t>
  </si>
  <si>
    <t>During training of deep neural networks, a Copernican loss (LC) is designed to augment a primary loss function, for example, a standard Softmax loss, to explicitly minimize intra-class variation and simultaneously maximize inter-class variation. Copernican loss operates using the cosine distance and thereby affects angles leading to a cosine embedding, which removes the disconnect between training and testing.</t>
  </si>
  <si>
    <t>G06N3/084; G06F17/16; G06N20/00</t>
  </si>
  <si>
    <t>US11636344 B2; US20190279091 A1; US20230281454 A1</t>
  </si>
  <si>
    <t>18/132509</t>
  </si>
  <si>
    <t>US20230281454 A1</t>
  </si>
  <si>
    <t>Savvides, Marios; Pal, Dipan Kumar</t>
  </si>
  <si>
    <t>US20240220801A1</t>
  </si>
  <si>
    <t>METHOD FOR DESIGNING LIGHT WEIGHT REDUCED PARAMETER NETWORKS</t>
  </si>
  <si>
    <t>Disclosed herein is a method of reducing the complexity of a neural network using PRC-NPTN layers by applying a pruning technique to remove a subset of filters in the network based on the importance of individual filters to the accuracy of the network, which is determined by the frequency with which the response of the filter is activated.</t>
  </si>
  <si>
    <t>G06N3/082; G06N3/04; G06N3/0464; G06N3/0495; G06N3/084; G06N3/09; G06N3/0985; G06N3/045</t>
  </si>
  <si>
    <t>WO2022169632 A1</t>
  </si>
  <si>
    <t>18/272856</t>
  </si>
  <si>
    <t>Pal, Dipan; Savvides, Marios; Ahmed, Uzair; Phan, Than Hai</t>
  </si>
  <si>
    <t>G06N3/082; G06N3/04; G06N3/0464; G06N3/0495; G06N3/084; G06N3/09; G06N3/0985</t>
  </si>
  <si>
    <t>US9336439B2</t>
  </si>
  <si>
    <t>System and method for the long range acquisition of iris images from stationary and mobile subjects</t>
  </si>
  <si>
    <t>Described is a system which is capable of capturing images of the iris up to distances of 11 meters with a resolution of 150-200 pixels across the diameter. The system incorporates velocity estimation and focus tracking modules such that that images may be acquired from moving subjects.</t>
  </si>
  <si>
    <t>G06V40/19</t>
  </si>
  <si>
    <t>US20140226876 A1; WO2013056001 A1</t>
  </si>
  <si>
    <t>14/347106</t>
  </si>
  <si>
    <t>US20140226876 A1</t>
  </si>
  <si>
    <t>Savvides, Marios; Venugopalan, Shreyas; Toomey, Douglas; Prasad, Unni; Harun, Kahlid</t>
  </si>
  <si>
    <t>EYELOCK LLC (3); NEC CORP (2); UNIV OHIO STATE (2); WELCH ALLYN INC (2); ALIPAY HANGZHOU INF TECH CO (1); IDEMIA IDENTITY &amp; SECURITY FRANCE (1); INTEL CORP (1); PRINCETON IDENTITY INC (1); TAHOE RES LTD (1)</t>
  </si>
  <si>
    <t>US12131497B2</t>
  </si>
  <si>
    <t>Fast object search based on the cocktail party effect</t>
  </si>
  <si>
    <t>Disclosed herein is an improved method for identifying images containing objects-of-interest from a large set of images. The method comprises mixing two or more of the images to create a grouped image and exposing the grouped image to an object detector trained on grouped images to make an initial determination that the grouped image was formed from at least one image containing an object-of-interest. The images which formed the grouped image are then exposed to regular object detectors to determine a classification of the object-of-interest.</t>
  </si>
  <si>
    <t>G06V10/82; G06F18/214; G06T7/70; G06V10/774; G06V2201/07</t>
  </si>
  <si>
    <t>US20240046503 A1; WO2022173607 A1; WO2022173607 A9</t>
  </si>
  <si>
    <t>18/266737</t>
  </si>
  <si>
    <t>US20240046503 A1</t>
  </si>
  <si>
    <t>Chen, Fangyi; Sarkar, Shayeree; Savvides, Marios</t>
  </si>
  <si>
    <t>G06V10/82; G06F18/214; G06T7/70; G06V10/774</t>
  </si>
  <si>
    <t>QUALCOMM INC (1)</t>
  </si>
  <si>
    <t>US9171226B2</t>
  </si>
  <si>
    <t>Image matching using subspace-based discrete transform encoded local binary patterns</t>
  </si>
  <si>
    <t>Determining a match between the subjects of first and second images as a function of decimal-number representations of regions of the first and second images. The decimal-number representations are generated by performing discrete transforms on the regions so as to obtain discrete-transform coefficients, performing local-bit-pattern encoding of the coefficients to create data streams, and converting the data streams to decimal numbers. In one embodiment, the first and second images depict periocular facial regions, and the disclosed techniques can be used for face recognition, even where a small portion of a person's face is captured in an image. Subspace modeling may be used to improve accuracy.</t>
  </si>
  <si>
    <t>G06V10/443; G06V10/467</t>
  </si>
  <si>
    <t>US20140212044 A1</t>
  </si>
  <si>
    <t>14/038167</t>
  </si>
  <si>
    <t>Savvides, Marios; Juefei-xu, Felix</t>
  </si>
  <si>
    <t>G06V10/443</t>
  </si>
  <si>
    <t>HUAWEI TECH CO (2); GUANGZHOU SHIYUAN ELECTRONIC CO (1); HANGZHOU DIANZI UNIV (1); JUMIO CORP (1); PEOPLES PUBLIC SECURITY UNIV OF CHINA (1); PING AN TECH SHENZHEN CO (1); QUALCOMM INC (1); RED HAT INC (1); SAMSUNG ELECTRONICS (1); SHANGHAI INST OF MICROSYSTEM &amp; INFORMATIONTECHNOLOGY CHINESE ACADEMY OF SCIENCES (1)</t>
  </si>
  <si>
    <t>US20240320980A1</t>
  </si>
  <si>
    <t>System and Method for the Automatic Detection of Openly-Carried Firearms</t>
  </si>
  <si>
    <t>Disclosed herein is a system and method for the automatic detection of persons engaged in the open carry of firearms at a venue. The system and method comprise strategically placed cameras at the venue which are connected to edge devices which extract frames from video generated by the cameras. The video frames are sent to a server for analysis by an AI/ML model trained to detect firearms and, specifically, to detect persons carrying firearms. If a person wielding a firearm is detected in any image, an alert is raised and local authorities are automatically contacted. The system is designed to run continuously such as to be able to quickly detect a person in a venue carrying a firearm.</t>
  </si>
  <si>
    <t>G06T7/11; G06N3/0464; G06N3/09; G06V10/82; G06V20/53; G08B21/02; G06T2207/20084; G06V2201/07</t>
  </si>
  <si>
    <t>WO2023023008 A1</t>
  </si>
  <si>
    <t>18/576198</t>
  </si>
  <si>
    <t>Savvides, Marios; Zhu, Chenchen; Adom, Nnamdi</t>
  </si>
  <si>
    <t>G06T7/11; G06N3/0464; G06N3/09; G06V10/82; G06V20/53; G08B21/02</t>
  </si>
  <si>
    <t>US10430922B2</t>
  </si>
  <si>
    <t>Methods and software for generating a derived 3D object model from a single 2D image</t>
  </si>
  <si>
    <t>Methods of reconstructing a 3D object model from portions of an object in a single 2D image using an existing 3D object model that is generic to a class to which the object in the 2D image belongs. In some embodiments, the methods determine a camera center from a computed estimated camera projection matrix. Landmark points on the object in the 2D image are back-projected to the existing 3D object model to warp the existing 3D object model according to the landmark points in the 2D image to create a derived 3D object model of the 2D object in the 2D image. Optional additional processing steps can include regularization, texturing, and infill of missing regions of the derived 3D object model. An example implementation of the disclosed methods is 3D craniofacial reconstruction from a single 2D image containing at least a portion of a face.</t>
  </si>
  <si>
    <t>G06T3/18; G06T17/20; G06T7/536; G06T7/73; G06T2200/04; G06T2200/08; G06T2207/30201; G06T2207/30204; G06T2207/30244</t>
  </si>
  <si>
    <t>US20180068414 A1</t>
  </si>
  <si>
    <t>15/698829</t>
  </si>
  <si>
    <t>Savvides, Marios; Bhagavatua, Chandrasekhar</t>
  </si>
  <si>
    <t>G06T3/18; G06T17/20; G06T7/536; G06T7/73</t>
  </si>
  <si>
    <t>DASSAULT SYSTEMES (2); AMAZON TECH INC (1); BEIJING NORMAL UNIV (1); CANON KK (1); GOOGLE INC (1); INST OF VERTEBRATE PALEONTOLOGY &amp; PALEOANTHROPOLOGY CHINESE ACADEMY OF SCIENCES (1); MIRAMETRIX INC (1); NINGBO UNIV (1); QUALCOMM INC (1); SONY GROUP CORP (1)</t>
  </si>
  <si>
    <t>US20250182363A1</t>
  </si>
  <si>
    <t>MULTIPLE HYPOTHESIS TRANSFORMATION MATCHING FOR ROBUST VERIFICATION OF OBJECT IDENTIFICATION</t>
  </si>
  <si>
    <t>Disclosed herein is a system and method for increasing the confidence of a match between a test image and an image stored in a library database. One or more transformations are performed on the test image to generate pose-altered images. Features are then extracted from the pose-altered image(s) and, optionally, the test image, and matched with images in the database. The scores for the subsequent matchings can be aggregated to determine an overall probability of a match between the test image in an image in the library database.</t>
  </si>
  <si>
    <t>US20240071024 A1; US20250292469 A1; US20240104893 A1; US11900516 B2; US12217339 B2; US20240013457 A1; US12322012 B2; WO/2022/212238 A1; WO/2022/212804 A1; WO/2022/212618 A1</t>
  </si>
  <si>
    <t>19/044046</t>
  </si>
  <si>
    <t>US20250182444A1</t>
  </si>
  <si>
    <t>SYSTEM AND METHOD FOR MULTIVIEW PRODUCT DETECTION AND RECOGNITION</t>
  </si>
  <si>
    <t>Disclosed herein is a system and method for implementing object detection and identification, regardless of the orientation of the object. The product detection and recognition method and system disclosed herein comprises capturing views of each object from different angles from a plurality of cameras and fusing the result of a matching process to identify the object as one of a plurality of objects enrolled in an object database.</t>
  </si>
  <si>
    <t>G06T7/74; G06Q20/208; G06Q20/209; G06V10/12; G06V10/25; G06V10/751; G06V10/809; G06V20/50; G06V10/82</t>
  </si>
  <si>
    <t>WO2023192666 A1</t>
  </si>
  <si>
    <t>18/845110</t>
  </si>
  <si>
    <t>Savvides, Marios; Kannan, Magesh; Ahmed, Uzair; Chen, Hao</t>
  </si>
  <si>
    <t>G06T7/74; G06Q20/208; G06Q20/209; G06V10/12; G06V10/25; G06V10/751; G06V10/809; G06V20/50</t>
  </si>
  <si>
    <t>TATA CONSULTANCY SERVICES LTD (1)</t>
  </si>
  <si>
    <t>US20240046621A1</t>
  </si>
  <si>
    <t>System and Method for Detecting, Reading and Matching in a Retail Scene</t>
  </si>
  <si>
    <t>Disclosed herein are designs for two baselines to detect products in a retail setting. A novel detector, referred to herein as RetailDet, detects quadrilateral products. To match products using visual texts on 2D space, text features are encoded with spatial positional encoding and the Hungarian Algorithm that calculates optimal assignment plans between varying text sequences is used.</t>
  </si>
  <si>
    <t>G06V10/82; G06V10/24; G06V10/764; G06V10/766; G06V10/7715; G06V10/774; G06V10/776; G06V20/62; G06V30/1801; G06V30/19093; G06V30/19147</t>
  </si>
  <si>
    <t>18/491059</t>
  </si>
  <si>
    <t>Savvides, Marios; Chen, Fangyi; Zhang, Han; Zhu, Chenchen</t>
  </si>
  <si>
    <t>US12322012B2</t>
  </si>
  <si>
    <t>System and method for scene rectification via homography estimation</t>
  </si>
  <si>
    <t>Disclosed herein is a system and method for performing pose-correction on images containing objects within a scene, or the entire scene, to compensate for off-centered camera views. The system and method generates a more frontal view of the object or scene by applying planar homography by identifying corner endpoints of the object or the scene and repositioning the corner endpoints to provide a more frontal view. The pose-corrected scene may then be input to an object detector to determine a location of a bounding box of an object-of-interest which would be more accurate than a bounding box from the original off-centered image.</t>
  </si>
  <si>
    <t>US20240071024 A1; US20250292469 A1; US20240104893 A1; US11900516 B2; US12217339 B2; US20250182363 A1; US20240013457 A1; WO/2022/212238 A1; WO/2022/212804 A1; WO/2022/212618 A1</t>
  </si>
  <si>
    <t>18/272301</t>
  </si>
  <si>
    <t>US20240071024 A1</t>
  </si>
  <si>
    <t>US12505663B2</t>
  </si>
  <si>
    <t>Method for compressing an AI-based object detection model for deployment on resource-limited devices</t>
  </si>
  <si>
    <t>Disclosed herein is a method for efficiently reducing the computational footprint of any AI-based object detection model, so as to enable its real-time deployment on computing resource-limited (i.e., low-power, embedded) devices. The disclosed method provides a step-by-step framework using an optimized combination of compression techniques to effectively compress any given AI-based object detection model.</t>
  </si>
  <si>
    <t>G06V10/87; G06N3/082; G06V10/774; G06V10/82</t>
  </si>
  <si>
    <t>US20240096085 A1; WO2022186925 A2; WO2022186925 A3</t>
  </si>
  <si>
    <t>18/266734</t>
  </si>
  <si>
    <t>US20240096085 A1</t>
  </si>
  <si>
    <t>Walawalkar, Devesh; Savvides, Marios</t>
  </si>
  <si>
    <t>AGI7 INC (1)</t>
  </si>
  <si>
    <t>US11875557B2</t>
  </si>
  <si>
    <t>Polynomial convolutional neural network with early fan-out</t>
  </si>
  <si>
    <t>The invention proposes a method of training a convolutional neural network in which, at each convolution layer, weights for one seed convolutional filter per layer are updated during each training iteration. All other convolutional filters are polynomial transformations of the seed filter, or, alternatively, all response maps are polynomial transformations of the response map generated by the seed filter.</t>
  </si>
  <si>
    <t>US11989933 B2; US20210042559 A1; US20210089844 A1; WO2019210295 A1; WO2019210300 A1</t>
  </si>
  <si>
    <t>16/976409</t>
  </si>
  <si>
    <t>US20210089844 A1</t>
  </si>
  <si>
    <t>WO/2025/194159A1</t>
  </si>
  <si>
    <t>TWO-WAY PRODUCT VERIFICATION BY REVERSE LOOKUP USING MULTI-VIEW ENROLLMENTS</t>
  </si>
  <si>
    <t>UNIV CARNEGIE MELLON</t>
  </si>
  <si>
    <t>G06V10/757; G06F16/51; G06F16/583; G06V20/52; G06N20/00</t>
  </si>
  <si>
    <t>Large</t>
  </si>
  <si>
    <t>PCT/US2025/020164</t>
  </si>
  <si>
    <t>SAVVIDES MARIOS; KANNAN MAGESH</t>
  </si>
  <si>
    <t>G06V10/757; G06F16/51; G06F16/583; G06V20/52</t>
  </si>
  <si>
    <t>WO</t>
  </si>
  <si>
    <t>WO/2025/175267A1</t>
  </si>
  <si>
    <t>TWO-WAY PRODUCT VERIFICATION BY REVERSE LOOKUP</t>
  </si>
  <si>
    <t>Disclosed herein is a novel system and method to reduce theft and errors in the self-checkout process. The system and methods disclosed herein reconcile purchased products with receipts for those products by corresponding, analyzing, and/or comparing information on self-checkout transaction receipts with captured images of purchase products from camera feeds to ensure that all products purchased via a self-checkout system have been properly accounts for and paid for.</t>
  </si>
  <si>
    <t>G07G1/0063; G06Q20/208; G06V20/52; G07G1/0036</t>
  </si>
  <si>
    <t>PCT/US2025/016215</t>
  </si>
  <si>
    <t>KANNAN MAGESH; SAVVIDES MARIOS</t>
  </si>
  <si>
    <t>WO/2025/193512A1</t>
  </si>
  <si>
    <t>SINGLE SHOT 3D MODELLING FROM 2D IMAGE</t>
  </si>
  <si>
    <t>Disclosed herein a method and process to generate a 3D model for objects based on one shot approach using a single 2D image of the object. The process comprises the steps of classifying the image into object shapes, segment the product outline from the image with the texture information, generating a 3D mesh model relevant to the classified shape and rendering the texture onto the 3D model. The model may then be manipulated to create and export different images at different viewpoints of the object.</t>
  </si>
  <si>
    <t>G06T17/20; G06Q10/087; G06T15/04; G06V10/82; G07G1/0063; G06N3/02</t>
  </si>
  <si>
    <t>PCT/US2025/018753</t>
  </si>
  <si>
    <t>XIAO YIMING; SAVVIDES MARIOS; NALLAMOTHU SREENA</t>
  </si>
  <si>
    <t>G06T17/20; G06Q10/087; G06T15/04; G06V10/82; G07G1/0063</t>
  </si>
  <si>
    <t>US7483569B2</t>
  </si>
  <si>
    <t>Expired</t>
  </si>
  <si>
    <t>Reduced complexity correlation filters</t>
  </si>
  <si>
    <t>A methodology is described to reduce the complexity of filters for face recognition by reducing the memory requirement to, for example, 2 bits/pixel in the frequency domain. Reduced-complexity correlations are achieved by having quantized MACE, UMACE, OTSDF, UOTSDF, MACH, and other filters, in conjunction with a quantized Fourier transform of the input image. This reduces complexity in comparison to the advanced correlation filters using full-phase correlation. However, the verification performance of the reduced complexity filters is comparable to that of full-complexity filters. A special case of using 4-phases to represent both the filter and training/test images in the Fourier domain leads to further reductions in the computational formulations. This also enables the storage and synthesis of filters in limited-memory and limited-computational power platforms such as PDAs, cell phones, etc. An online training algorithm implemented on a face verification system is described for synthesizing correlation filters to handle pose/scale variations. A way to perform efficient face localization is also discussed. Because of the rules governing abstracts, this abstract should not be used to construe the claims.</t>
  </si>
  <si>
    <t>G06V10/898</t>
  </si>
  <si>
    <t>US20050018925 A1</t>
  </si>
  <si>
    <t>10/857072</t>
  </si>
  <si>
    <t>Bhagavatula, Vijayakumar; Savvides, Marios</t>
  </si>
  <si>
    <t>FOTONATION LTD (5); INVENTION SCIENCE FUND I LLC (5); IBM (4); SONY CORP (4); SONY ELECTRONICS INC (4); TOBII TECH LTD (4); HITACHI LTD (3); ADEIA MEDIA HOLDINGS INC (2); JT CONSULTANCY LTD (2); NVIDIA CORP (2)</t>
  </si>
  <si>
    <t>Patent Expired Due to NonPayment of Maintenance Fees Under 37 CFR 1.362</t>
  </si>
  <si>
    <t>INACTIVE</t>
  </si>
  <si>
    <t>US20140250523A1</t>
  </si>
  <si>
    <t>Continuous Authentication, and Methods, Systems, and Software Therefor</t>
  </si>
  <si>
    <t>Controlling a registered-user session of a registered user on a device using first and second authentication processes and a handoff from the first process to the second process. In one embodiment, the first authentication process is a stronger process performed at the outset of a session, and the second authentication process is a weaker process iteratively performed during the session. The stronger authentication process may require cooperation from the user, while the weaker authentication process is preferably one that requires little or no user cooperation. In other embodiments, a strong authentication process may be iteratively performed during the session.</t>
  </si>
  <si>
    <t>G06F21/32</t>
  </si>
  <si>
    <t>14/052200</t>
  </si>
  <si>
    <t>Savvides, Marios; Jaech, Aaron</t>
  </si>
  <si>
    <t>NOK NOK LABS INC (34); WELLS FARGO BANK NATIONAL ASSOCIATION (4); GOOGLE INC (2); INTEL CORP (2); RESMED LTD (2); SAP SE (2); 21CN INFORMATION NETWORK CO (1); ADVANCED NEW TECH CO (1); BOOZ ALLEN HAMILTON (1); CANON KK (1)</t>
  </si>
  <si>
    <t>Abandoned -- Failure to Respond to an Office Action</t>
  </si>
  <si>
    <t>WO/2024/091472A1</t>
  </si>
  <si>
    <t>HISTOGRAM-BASED ACTION DETECTION</t>
  </si>
  <si>
    <t>Disclosed herein is a method for skeleton-based action recognition using handcrafted features. The input of the model is keypoint data of one or more skeletons from the frames of a video clip. Several histogram features are used to describe the spatial and temporal patterns of the corresponding body. These features are concatenated and sent to a linear classifier to predict the category of the actions.</t>
  </si>
  <si>
    <t>G06V40/23</t>
  </si>
  <si>
    <t>PCT/US2023/035759</t>
  </si>
  <si>
    <t>SAVVIDES MARIOS; HU KAI</t>
  </si>
  <si>
    <t>A System and Method for Automatic Mobile Self-Checkout and Verification using Cameras and QR Codes</t>
  </si>
  <si>
    <t>Hybrid Computer-Vision and Barcode Pass-Through Checkout Interface</t>
  </si>
  <si>
    <t>System and Method for Computer Vision Based Per Surface Cleanliness Condition State Modeling and Automated Task Generation</t>
  </si>
  <si>
    <t>System and Method for Monocular Retail Shelf Object Picking Detection for Just-Walk-Out Transactions</t>
  </si>
  <si>
    <t>63/794,781</t>
  </si>
  <si>
    <t>63/831,790</t>
  </si>
  <si>
    <t>CMU Docket 2026-109</t>
  </si>
  <si>
    <t>CMU Docket 2026-113</t>
  </si>
  <si>
    <t>Inactive</t>
  </si>
  <si>
    <t>Provisional (status unknown)</t>
  </si>
  <si>
    <t>No</t>
  </si>
  <si>
    <t>Yes</t>
  </si>
  <si>
    <t>Process w/ Limestone (Y/N)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</si>
</sst>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0"/>
      <color theme="1"/>
      <name val="Aptos Narrow"/>
      <family val="2"/>
      <scheme val="minor"/>
    </font>
    <font>
      <sz val="10"/>
      <color theme="5"/>
      <name val="Aptos Narrow"/>
      <family val="2"/>
      <scheme val="minor"/>
    </font>
    <font>
      <sz val="12"/>
      <color theme="5"/>
      <name val="Aptos Narrow"/>
      <family val="2"/>
      <scheme val="minor"/>
    </font>
    <font>
      <sz val="12"/>
      <color rgb="FF00B050"/>
      <name val="Aptos Narrow"/>
      <family val="2"/>
      <scheme val="minor"/>
    </font>
    <font>
      <sz val="12"/>
      <color rgb="FF00B0F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8" fillId="0" borderId="0" xfId="0" applyFont="1"/>
    <xf numFmtId="0" fontId="19" fillId="0" borderId="0" xfId="0" applyFont="1"/>
    <xf numFmtId="0" fontId="14" fillId="0" borderId="0" xfId="0" applyFont="1"/>
    <xf numFmtId="0" fontId="20" fillId="0" borderId="0" xfId="0" applyFont="1"/>
    <xf numFmtId="0" fontId="21" fillId="0" borderId="0" xfId="0" applyFont="1"/>
    <xf numFmtId="0" fontId="0" fillId="33" borderId="0" xfId="0" applyFill="1"/>
    <xf numFmtId="0" fontId="18" fillId="0" borderId="0" xfId="0" applyFont="1" applyAlignment="1">
      <alignment horizontal="center"/>
    </xf>
    <xf numFmtId="14" fontId="0" fillId="0" borderId="0" xfId="0" applyNumberFormat="1" applyAlignment="1">
      <alignment horizontal="center"/>
    </xf>
    <xf numFmtId="0" fontId="0" fillId="0" borderId="0" xfId="0" applyAlignment="1">
      <alignment horizontal="center"/>
    </xf>
    <xf numFmtId="0" fontId="22" fillId="0" borderId="0" xfId="0" applyFont="1"/>
    <xf numFmtId="0" fontId="23" fillId="0" borderId="0" xfId="0" applyFont="1"/>
    <xf numFmtId="0" fontId="0" fillId="34" borderId="0" xfId="0"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DA87-B00F-9C49-B173-AC01D68BDE42}">
  <dimension ref="A1:AS67"/>
  <sheetViews>
    <sheetView tabSelected="1" workbookViewId="0">
      <selection activeCell="A2" sqref="A2"/>
    </sheetView>
  </sheetViews>
  <sheetFormatPr baseColWidth="10" defaultRowHeight="16" x14ac:dyDescent="0.2"/>
  <cols>
    <col min="1" max="1" width="27" bestFit="1" customWidth="1"/>
    <col min="2" max="2" width="17.6640625" bestFit="1" customWidth="1"/>
    <col min="3" max="3" width="14" customWidth="1"/>
    <col min="4" max="4" width="29.1640625" customWidth="1"/>
    <col min="5" max="5" width="15.5" customWidth="1"/>
    <col min="6" max="6" width="29.1640625" style="9" customWidth="1"/>
    <col min="7" max="7" width="10.83203125" style="9"/>
    <col min="13" max="17" width="10.83203125" style="9"/>
    <col min="20" max="22" width="10.83203125" style="9"/>
    <col min="28" max="30" width="10.83203125" style="9"/>
    <col min="33" max="37" width="10.83203125" style="9"/>
    <col min="41" max="42" width="10.83203125" style="9"/>
  </cols>
  <sheetData>
    <row r="1" spans="1:45" x14ac:dyDescent="0.2">
      <c r="A1" s="1" t="s">
        <v>561</v>
      </c>
      <c r="B1" s="1" t="s">
        <v>0</v>
      </c>
      <c r="C1" s="1" t="s">
        <v>1</v>
      </c>
      <c r="D1" s="1" t="s">
        <v>41</v>
      </c>
      <c r="E1" s="1" t="s">
        <v>42</v>
      </c>
      <c r="F1" s="7" t="s">
        <v>43</v>
      </c>
      <c r="G1" s="7" t="s">
        <v>34</v>
      </c>
      <c r="H1" s="1" t="s">
        <v>2</v>
      </c>
      <c r="I1" s="1" t="s">
        <v>3</v>
      </c>
      <c r="J1" s="1" t="s">
        <v>4</v>
      </c>
      <c r="K1" s="1" t="s">
        <v>5</v>
      </c>
      <c r="L1" s="1" t="s">
        <v>6</v>
      </c>
      <c r="M1" s="7" t="s">
        <v>7</v>
      </c>
      <c r="N1" s="7" t="s">
        <v>8</v>
      </c>
      <c r="O1" s="7" t="s">
        <v>9</v>
      </c>
      <c r="P1" s="7" t="s">
        <v>10</v>
      </c>
      <c r="Q1" s="7" t="s">
        <v>11</v>
      </c>
      <c r="R1" s="1" t="s">
        <v>12</v>
      </c>
      <c r="S1" s="1" t="s">
        <v>13</v>
      </c>
      <c r="T1" s="7" t="s">
        <v>14</v>
      </c>
      <c r="U1" s="7" t="s">
        <v>15</v>
      </c>
      <c r="V1" s="7" t="s">
        <v>16</v>
      </c>
      <c r="W1" s="1" t="s">
        <v>17</v>
      </c>
      <c r="X1" s="1" t="s">
        <v>18</v>
      </c>
      <c r="Y1" s="1" t="s">
        <v>19</v>
      </c>
      <c r="Z1" s="1" t="s">
        <v>20</v>
      </c>
      <c r="AA1" s="1" t="s">
        <v>21</v>
      </c>
      <c r="AB1" s="7" t="s">
        <v>22</v>
      </c>
      <c r="AC1" s="7" t="s">
        <v>23</v>
      </c>
      <c r="AD1" s="7" t="s">
        <v>24</v>
      </c>
      <c r="AE1" s="1" t="s">
        <v>25</v>
      </c>
      <c r="AF1" s="1" t="s">
        <v>26</v>
      </c>
      <c r="AG1" s="7" t="s">
        <v>27</v>
      </c>
      <c r="AH1" s="7" t="s">
        <v>28</v>
      </c>
      <c r="AI1" s="7" t="s">
        <v>29</v>
      </c>
      <c r="AJ1" s="7" t="s">
        <v>30</v>
      </c>
      <c r="AK1" s="7" t="s">
        <v>31</v>
      </c>
      <c r="AL1" s="1" t="s">
        <v>32</v>
      </c>
      <c r="AM1" s="1" t="s">
        <v>33</v>
      </c>
      <c r="AN1" s="1" t="s">
        <v>35</v>
      </c>
      <c r="AO1" s="7" t="s">
        <v>36</v>
      </c>
      <c r="AP1" s="7" t="s">
        <v>37</v>
      </c>
      <c r="AQ1" s="1" t="s">
        <v>38</v>
      </c>
      <c r="AR1" s="1" t="s">
        <v>39</v>
      </c>
      <c r="AS1" s="1" t="s">
        <v>40</v>
      </c>
    </row>
    <row r="2" spans="1:45" x14ac:dyDescent="0.2">
      <c r="A2" s="12" t="s">
        <v>559</v>
      </c>
      <c r="B2" s="3" t="s">
        <v>535</v>
      </c>
      <c r="C2" t="s">
        <v>557</v>
      </c>
      <c r="D2" t="s">
        <v>542</v>
      </c>
      <c r="E2" t="s">
        <v>534</v>
      </c>
      <c r="F2" s="8">
        <v>42236</v>
      </c>
      <c r="G2" s="9" t="s">
        <v>55</v>
      </c>
      <c r="H2" t="str">
        <f>HYPERLINK("https://app.acclaimip.com/pdf/iAfSebTX0kkAB9PlBtfSR05DYh5eZ94C8cE424k/US20140250523A1")</f>
        <v>https://app.acclaimip.com/pdf/iAfSebTX0kkAB9PlBtfSR05DYh5eZ94C8cE424k/US20140250523A1</v>
      </c>
      <c r="I2" t="s">
        <v>536</v>
      </c>
      <c r="J2" t="s">
        <v>537</v>
      </c>
      <c r="K2" t="s">
        <v>48</v>
      </c>
      <c r="L2" t="s">
        <v>48</v>
      </c>
      <c r="M2" s="8">
        <v>41193</v>
      </c>
      <c r="N2" s="8">
        <v>41558</v>
      </c>
      <c r="O2" s="8">
        <v>41886</v>
      </c>
      <c r="R2" t="s">
        <v>538</v>
      </c>
      <c r="T2" s="9">
        <v>1</v>
      </c>
      <c r="U2" s="9">
        <v>26</v>
      </c>
      <c r="V2" s="9" t="s">
        <v>51</v>
      </c>
      <c r="W2">
        <v>51421724</v>
      </c>
      <c r="X2" t="s">
        <v>539</v>
      </c>
      <c r="AB2" s="9">
        <v>61</v>
      </c>
      <c r="AC2" s="9">
        <v>51421724</v>
      </c>
      <c r="AD2" s="8">
        <v>41600</v>
      </c>
      <c r="AE2" t="s">
        <v>540</v>
      </c>
      <c r="AF2" t="s">
        <v>85</v>
      </c>
      <c r="AG2" s="9">
        <v>2</v>
      </c>
      <c r="AH2" s="9">
        <v>2</v>
      </c>
      <c r="AI2" s="9">
        <v>24</v>
      </c>
      <c r="AJ2" s="9">
        <v>1</v>
      </c>
      <c r="AK2" s="9">
        <v>0</v>
      </c>
      <c r="AL2" t="s">
        <v>538</v>
      </c>
      <c r="AN2" t="s">
        <v>541</v>
      </c>
      <c r="AO2" s="9" t="s">
        <v>87</v>
      </c>
      <c r="AP2" s="9">
        <v>63</v>
      </c>
    </row>
    <row r="3" spans="1:45" x14ac:dyDescent="0.2">
      <c r="A3" s="13" t="s">
        <v>560</v>
      </c>
      <c r="B3" t="s">
        <v>326</v>
      </c>
      <c r="D3" t="s">
        <v>120</v>
      </c>
      <c r="E3" t="s">
        <v>59</v>
      </c>
      <c r="F3" s="8">
        <v>45818</v>
      </c>
      <c r="G3" s="9" t="s">
        <v>55</v>
      </c>
      <c r="H3" t="str">
        <f>HYPERLINK("https://app.acclaimip.com/pdf/9tndhsnb6bz32dwae9vpsrlI_xJpG1PiZb2mSvc/US20250278988A1")</f>
        <v>https://app.acclaimip.com/pdf/9tndhsnb6bz32dwae9vpsrlI_xJpG1PiZb2mSvc/US20250278988A1</v>
      </c>
      <c r="I3" t="s">
        <v>327</v>
      </c>
      <c r="J3" t="s">
        <v>328</v>
      </c>
      <c r="K3" t="s">
        <v>48</v>
      </c>
      <c r="L3" t="s">
        <v>48</v>
      </c>
      <c r="M3" s="8">
        <v>45338</v>
      </c>
      <c r="N3" s="8">
        <v>45793</v>
      </c>
      <c r="O3" s="8">
        <v>45904</v>
      </c>
      <c r="R3" t="s">
        <v>329</v>
      </c>
      <c r="T3" s="9">
        <v>1</v>
      </c>
      <c r="U3" s="9">
        <v>16</v>
      </c>
      <c r="V3" s="9" t="s">
        <v>51</v>
      </c>
      <c r="W3">
        <v>96880320</v>
      </c>
      <c r="X3" t="s">
        <v>330</v>
      </c>
      <c r="AB3" s="9">
        <v>0</v>
      </c>
      <c r="AC3" s="9">
        <v>96773600</v>
      </c>
      <c r="AD3" s="8">
        <v>45884</v>
      </c>
      <c r="AE3" t="s">
        <v>331</v>
      </c>
      <c r="AF3" t="s">
        <v>85</v>
      </c>
      <c r="AG3" s="9">
        <v>0</v>
      </c>
      <c r="AH3" s="9">
        <v>2</v>
      </c>
      <c r="AI3" s="9">
        <v>14</v>
      </c>
      <c r="AJ3" s="9">
        <v>0</v>
      </c>
      <c r="AK3" s="9">
        <v>0</v>
      </c>
      <c r="AL3" t="s">
        <v>329</v>
      </c>
      <c r="AO3" s="9" t="s">
        <v>87</v>
      </c>
      <c r="AP3" s="9">
        <v>0</v>
      </c>
    </row>
    <row r="4" spans="1:45" x14ac:dyDescent="0.2">
      <c r="A4" s="13" t="s">
        <v>560</v>
      </c>
      <c r="B4" t="s">
        <v>461</v>
      </c>
      <c r="D4" t="s">
        <v>120</v>
      </c>
      <c r="E4" t="s">
        <v>59</v>
      </c>
      <c r="F4" s="8">
        <v>45713</v>
      </c>
      <c r="G4" s="9" t="s">
        <v>55</v>
      </c>
      <c r="H4" t="str">
        <f>HYPERLINK("https://app.acclaimip.com/pdf/WaGVQ8xkW2r6oZTffmRbZLSS2azQLRnccE3BzFg/US20250182363A1")</f>
        <v>https://app.acclaimip.com/pdf/WaGVQ8xkW2r6oZTffmRbZLSS2azQLRnccE3BzFg/US20250182363A1</v>
      </c>
      <c r="I4" t="s">
        <v>462</v>
      </c>
      <c r="J4" t="s">
        <v>463</v>
      </c>
      <c r="K4" t="s">
        <v>48</v>
      </c>
      <c r="L4" t="s">
        <v>48</v>
      </c>
      <c r="M4" s="8">
        <v>44288</v>
      </c>
      <c r="N4" s="8">
        <v>45691</v>
      </c>
      <c r="O4" s="8">
        <v>45813</v>
      </c>
      <c r="R4" t="s">
        <v>133</v>
      </c>
      <c r="S4" t="s">
        <v>464</v>
      </c>
      <c r="T4" s="9">
        <v>11</v>
      </c>
      <c r="U4" s="9">
        <v>22</v>
      </c>
      <c r="V4" s="9" t="s">
        <v>51</v>
      </c>
      <c r="W4">
        <v>83456692</v>
      </c>
      <c r="X4" t="s">
        <v>465</v>
      </c>
      <c r="AB4" s="9">
        <v>0</v>
      </c>
      <c r="AC4" s="9">
        <v>83456692</v>
      </c>
      <c r="AD4" s="8">
        <v>45168</v>
      </c>
      <c r="AE4" t="s">
        <v>154</v>
      </c>
      <c r="AF4" t="s">
        <v>85</v>
      </c>
      <c r="AG4" s="9">
        <v>0</v>
      </c>
      <c r="AH4" s="9">
        <v>2</v>
      </c>
      <c r="AI4" s="9">
        <v>20</v>
      </c>
      <c r="AJ4" s="9">
        <v>0</v>
      </c>
      <c r="AK4" s="9">
        <v>0</v>
      </c>
      <c r="AL4" t="s">
        <v>138</v>
      </c>
      <c r="AO4" s="9" t="s">
        <v>87</v>
      </c>
      <c r="AP4" s="9">
        <v>72</v>
      </c>
    </row>
    <row r="5" spans="1:45" x14ac:dyDescent="0.2">
      <c r="A5" s="13" t="s">
        <v>560</v>
      </c>
      <c r="B5" t="s">
        <v>215</v>
      </c>
      <c r="D5" t="s">
        <v>120</v>
      </c>
      <c r="E5" t="s">
        <v>59</v>
      </c>
      <c r="F5" s="8">
        <v>45713</v>
      </c>
      <c r="G5" s="9" t="s">
        <v>55</v>
      </c>
      <c r="H5" t="str">
        <f>HYPERLINK("https://app.acclaimip.com/pdf/xDiqyCjUTmbcOKtUmtROaJLnaJobxdzlIM05y8U/US20250181972A1")</f>
        <v>https://app.acclaimip.com/pdf/xDiqyCjUTmbcOKtUmtROaJLnaJobxdzlIM05y8U/US20250181972A1</v>
      </c>
      <c r="I5" t="s">
        <v>216</v>
      </c>
      <c r="J5" t="s">
        <v>217</v>
      </c>
      <c r="K5" t="s">
        <v>48</v>
      </c>
      <c r="L5" t="s">
        <v>48</v>
      </c>
      <c r="M5" s="8">
        <v>44783</v>
      </c>
      <c r="N5" s="8">
        <v>45147</v>
      </c>
      <c r="O5" s="8">
        <v>45813</v>
      </c>
      <c r="R5" t="s">
        <v>218</v>
      </c>
      <c r="S5" t="s">
        <v>219</v>
      </c>
      <c r="T5" s="9">
        <v>3</v>
      </c>
      <c r="U5" s="9">
        <v>12</v>
      </c>
      <c r="V5" s="9" t="s">
        <v>51</v>
      </c>
      <c r="W5">
        <v>90831595</v>
      </c>
      <c r="X5" t="s">
        <v>220</v>
      </c>
      <c r="AB5" s="9">
        <v>0</v>
      </c>
      <c r="AC5" s="9">
        <v>90831595</v>
      </c>
      <c r="AD5" s="8">
        <v>45236</v>
      </c>
      <c r="AE5" t="s">
        <v>221</v>
      </c>
      <c r="AF5" t="s">
        <v>85</v>
      </c>
      <c r="AG5" s="9">
        <v>0</v>
      </c>
      <c r="AH5" s="9">
        <v>1</v>
      </c>
      <c r="AI5" s="9">
        <v>11</v>
      </c>
      <c r="AJ5" s="9">
        <v>0</v>
      </c>
      <c r="AK5" s="9">
        <v>0</v>
      </c>
      <c r="AL5" t="s">
        <v>218</v>
      </c>
      <c r="AO5" s="9" t="s">
        <v>87</v>
      </c>
      <c r="AP5" s="9">
        <v>14</v>
      </c>
    </row>
    <row r="6" spans="1:45" x14ac:dyDescent="0.2">
      <c r="A6" s="13" t="s">
        <v>560</v>
      </c>
      <c r="B6" t="s">
        <v>356</v>
      </c>
      <c r="D6" t="s">
        <v>120</v>
      </c>
      <c r="E6" t="s">
        <v>59</v>
      </c>
      <c r="F6" s="8">
        <v>45569</v>
      </c>
      <c r="G6" s="9" t="s">
        <v>55</v>
      </c>
      <c r="H6" t="str">
        <f>HYPERLINK("https://app.acclaimip.com/pdf/jpszEExvk_TZmzKM_m-T-pcsY1uQPMnpD6ketY8/US20250005881A1")</f>
        <v>https://app.acclaimip.com/pdf/jpszEExvk_TZmzKM_m-T-pcsY1uQPMnpD6ketY8/US20250005881A1</v>
      </c>
      <c r="I6" t="s">
        <v>357</v>
      </c>
      <c r="J6" t="s">
        <v>358</v>
      </c>
      <c r="K6" t="s">
        <v>48</v>
      </c>
      <c r="L6" t="s">
        <v>48</v>
      </c>
      <c r="M6" s="8">
        <v>44538</v>
      </c>
      <c r="N6" s="8">
        <v>44903</v>
      </c>
      <c r="O6" s="8">
        <v>45659</v>
      </c>
      <c r="R6" t="s">
        <v>359</v>
      </c>
      <c r="S6" t="s">
        <v>360</v>
      </c>
      <c r="T6" s="9">
        <v>2</v>
      </c>
      <c r="U6" s="9">
        <v>18</v>
      </c>
      <c r="V6" s="9" t="s">
        <v>51</v>
      </c>
      <c r="W6">
        <v>86731194</v>
      </c>
      <c r="X6" t="s">
        <v>361</v>
      </c>
      <c r="AB6" s="9">
        <v>0</v>
      </c>
      <c r="AC6" s="9">
        <v>83459606</v>
      </c>
      <c r="AD6" s="8">
        <v>45083</v>
      </c>
      <c r="AE6" t="s">
        <v>362</v>
      </c>
      <c r="AF6" t="s">
        <v>85</v>
      </c>
      <c r="AG6" s="9">
        <v>0</v>
      </c>
      <c r="AH6" s="9">
        <v>2</v>
      </c>
      <c r="AI6" s="9">
        <v>16</v>
      </c>
      <c r="AJ6" s="9">
        <v>0</v>
      </c>
      <c r="AK6" s="9">
        <v>0</v>
      </c>
      <c r="AL6" t="s">
        <v>363</v>
      </c>
      <c r="AO6" s="9" t="s">
        <v>87</v>
      </c>
      <c r="AP6" s="9">
        <v>0</v>
      </c>
    </row>
    <row r="7" spans="1:45" x14ac:dyDescent="0.2">
      <c r="A7" s="13" t="s">
        <v>560</v>
      </c>
      <c r="B7" t="s">
        <v>408</v>
      </c>
      <c r="D7" t="s">
        <v>120</v>
      </c>
      <c r="E7" t="s">
        <v>59</v>
      </c>
      <c r="F7" s="8">
        <v>45385</v>
      </c>
      <c r="G7" s="9" t="s">
        <v>55</v>
      </c>
      <c r="H7" t="str">
        <f>HYPERLINK("https://app.acclaimip.com/pdf/wHX2rhwj-KQNdfcyriP4qkNOmAlI-NcI6Bg-nME/US20240220801A1")</f>
        <v>https://app.acclaimip.com/pdf/wHX2rhwj-KQNdfcyriP4qkNOmAlI-NcI6Bg-nME/US20240220801A1</v>
      </c>
      <c r="I7" t="s">
        <v>409</v>
      </c>
      <c r="J7" t="s">
        <v>410</v>
      </c>
      <c r="K7" t="s">
        <v>48</v>
      </c>
      <c r="L7" t="s">
        <v>48</v>
      </c>
      <c r="M7" s="8">
        <v>44231</v>
      </c>
      <c r="N7" s="8">
        <v>44586</v>
      </c>
      <c r="O7" s="8">
        <v>45477</v>
      </c>
      <c r="R7" t="s">
        <v>411</v>
      </c>
      <c r="S7" t="s">
        <v>412</v>
      </c>
      <c r="T7" s="9">
        <v>2</v>
      </c>
      <c r="U7" s="9">
        <v>19</v>
      </c>
      <c r="V7" s="9" t="s">
        <v>51</v>
      </c>
      <c r="W7">
        <v>82742511</v>
      </c>
      <c r="X7" t="s">
        <v>413</v>
      </c>
      <c r="AB7" s="9">
        <v>0</v>
      </c>
      <c r="AC7" s="9">
        <v>82742511</v>
      </c>
      <c r="AE7" t="s">
        <v>414</v>
      </c>
      <c r="AF7" t="s">
        <v>85</v>
      </c>
      <c r="AG7" s="9">
        <v>0</v>
      </c>
      <c r="AH7" s="9">
        <v>2</v>
      </c>
      <c r="AI7" s="9">
        <v>17</v>
      </c>
      <c r="AJ7" s="9">
        <v>0</v>
      </c>
      <c r="AK7" s="9">
        <v>0</v>
      </c>
      <c r="AL7" t="s">
        <v>415</v>
      </c>
      <c r="AO7" s="9" t="s">
        <v>87</v>
      </c>
      <c r="AP7" s="9">
        <v>5</v>
      </c>
    </row>
    <row r="8" spans="1:45" x14ac:dyDescent="0.2">
      <c r="A8" s="13" t="s">
        <v>560</v>
      </c>
      <c r="B8" t="s">
        <v>113</v>
      </c>
      <c r="D8" t="s">
        <v>120</v>
      </c>
      <c r="E8" t="s">
        <v>59</v>
      </c>
      <c r="F8" s="8">
        <v>45275</v>
      </c>
      <c r="G8" s="9" t="s">
        <v>55</v>
      </c>
      <c r="H8" t="str">
        <f>HYPERLINK("https://app.acclaimip.com/pdf/rY_PRpIkry0gj87aICSvI25Cftqehip-AWOYvqw/US20240095524A1")</f>
        <v>https://app.acclaimip.com/pdf/rY_PRpIkry0gj87aICSvI25Cftqehip-AWOYvqw/US20240095524A1</v>
      </c>
      <c r="I8" t="s">
        <v>114</v>
      </c>
      <c r="J8" t="s">
        <v>115</v>
      </c>
      <c r="K8" t="s">
        <v>48</v>
      </c>
      <c r="L8" t="s">
        <v>48</v>
      </c>
      <c r="M8" s="8">
        <v>44244</v>
      </c>
      <c r="N8" s="8">
        <v>44608</v>
      </c>
      <c r="O8" s="8">
        <v>45372</v>
      </c>
      <c r="R8" t="s">
        <v>116</v>
      </c>
      <c r="S8" t="s">
        <v>117</v>
      </c>
      <c r="T8" s="9">
        <v>2</v>
      </c>
      <c r="U8" s="9">
        <v>11</v>
      </c>
      <c r="V8" s="9" t="s">
        <v>51</v>
      </c>
      <c r="W8">
        <v>82931617</v>
      </c>
      <c r="X8" t="s">
        <v>118</v>
      </c>
      <c r="AB8" s="9">
        <v>0</v>
      </c>
      <c r="AC8" s="9">
        <v>82931617</v>
      </c>
      <c r="AD8" s="8">
        <v>45179</v>
      </c>
      <c r="AE8" t="s">
        <v>119</v>
      </c>
      <c r="AF8" t="s">
        <v>85</v>
      </c>
      <c r="AG8" s="9">
        <v>0</v>
      </c>
      <c r="AH8" s="9">
        <v>1</v>
      </c>
      <c r="AI8" s="9">
        <v>10</v>
      </c>
      <c r="AJ8" s="9">
        <v>0</v>
      </c>
      <c r="AK8" s="9">
        <v>0</v>
      </c>
      <c r="AL8" t="s">
        <v>116</v>
      </c>
      <c r="AO8" s="9" t="s">
        <v>87</v>
      </c>
      <c r="AP8" s="9">
        <v>4</v>
      </c>
    </row>
    <row r="9" spans="1:45" x14ac:dyDescent="0.2">
      <c r="A9" s="13" t="s">
        <v>560</v>
      </c>
      <c r="B9" t="s">
        <v>444</v>
      </c>
      <c r="D9" t="s">
        <v>254</v>
      </c>
      <c r="E9" t="s">
        <v>59</v>
      </c>
      <c r="F9" s="8">
        <v>46013</v>
      </c>
      <c r="G9" s="9" t="s">
        <v>55</v>
      </c>
      <c r="H9" t="str">
        <f>HYPERLINK("https://app.acclaimip.com/pdf/vyjRnrqwgWNhKNACCLCBbS-yxNr8hV4a8nill74/US20240320980A1")</f>
        <v>https://app.acclaimip.com/pdf/vyjRnrqwgWNhKNACCLCBbS-yxNr8hV4a8nill74/US20240320980A1</v>
      </c>
      <c r="I9" t="s">
        <v>445</v>
      </c>
      <c r="J9" t="s">
        <v>446</v>
      </c>
      <c r="K9" t="s">
        <v>48</v>
      </c>
      <c r="L9" t="s">
        <v>48</v>
      </c>
      <c r="M9" s="8">
        <v>44428</v>
      </c>
      <c r="N9" s="8">
        <v>44789</v>
      </c>
      <c r="O9" s="8">
        <v>45561</v>
      </c>
      <c r="R9" t="s">
        <v>447</v>
      </c>
      <c r="S9" t="s">
        <v>448</v>
      </c>
      <c r="T9" s="9">
        <v>2</v>
      </c>
      <c r="U9" s="9">
        <v>20</v>
      </c>
      <c r="V9" s="9" t="s">
        <v>51</v>
      </c>
      <c r="W9">
        <v>85240959</v>
      </c>
      <c r="X9" t="s">
        <v>449</v>
      </c>
      <c r="AB9" s="9">
        <v>0</v>
      </c>
      <c r="AC9" s="9">
        <v>85240959</v>
      </c>
      <c r="AD9" s="8">
        <v>45725</v>
      </c>
      <c r="AE9" t="s">
        <v>450</v>
      </c>
      <c r="AF9" t="s">
        <v>85</v>
      </c>
      <c r="AG9" s="9">
        <v>16</v>
      </c>
      <c r="AH9" s="9">
        <v>2</v>
      </c>
      <c r="AI9" s="9">
        <v>18</v>
      </c>
      <c r="AJ9" s="9">
        <v>3</v>
      </c>
      <c r="AK9" s="9">
        <v>0</v>
      </c>
      <c r="AL9" t="s">
        <v>451</v>
      </c>
      <c r="AO9" s="9" t="s">
        <v>87</v>
      </c>
      <c r="AP9" s="9">
        <v>1</v>
      </c>
    </row>
    <row r="10" spans="1:45" x14ac:dyDescent="0.2">
      <c r="A10" s="13" t="s">
        <v>560</v>
      </c>
      <c r="B10" t="s">
        <v>247</v>
      </c>
      <c r="D10" t="s">
        <v>254</v>
      </c>
      <c r="E10" t="s">
        <v>59</v>
      </c>
      <c r="F10" s="8">
        <v>45995</v>
      </c>
      <c r="G10" s="9" t="s">
        <v>55</v>
      </c>
      <c r="H10" t="str">
        <f>HYPERLINK("https://app.acclaimip.com/pdf/q0gfG-IuH1gzSB6HUC4fVn15QIwxu3k9Pw-Fwqo/US20240054764A1")</f>
        <v>https://app.acclaimip.com/pdf/q0gfG-IuH1gzSB6HUC4fVn15QIwxu3k9Pw-Fwqo/US20240054764A1</v>
      </c>
      <c r="I10" t="s">
        <v>248</v>
      </c>
      <c r="J10" t="s">
        <v>249</v>
      </c>
      <c r="K10" t="s">
        <v>48</v>
      </c>
      <c r="L10" t="s">
        <v>48</v>
      </c>
      <c r="M10" s="8">
        <v>44239</v>
      </c>
      <c r="N10" s="8">
        <v>44596</v>
      </c>
      <c r="O10" s="8">
        <v>45337</v>
      </c>
      <c r="R10" t="s">
        <v>250</v>
      </c>
      <c r="S10" t="s">
        <v>251</v>
      </c>
      <c r="T10" s="9">
        <v>2</v>
      </c>
      <c r="U10" s="9">
        <v>16</v>
      </c>
      <c r="V10" s="9" t="s">
        <v>51</v>
      </c>
      <c r="W10">
        <v>82838624</v>
      </c>
      <c r="X10" t="s">
        <v>252</v>
      </c>
      <c r="AB10" s="9">
        <v>0</v>
      </c>
      <c r="AC10" s="9">
        <v>82838624</v>
      </c>
      <c r="AD10" s="8">
        <v>45168</v>
      </c>
      <c r="AE10" t="s">
        <v>253</v>
      </c>
      <c r="AF10" t="s">
        <v>85</v>
      </c>
      <c r="AG10" s="9">
        <v>7</v>
      </c>
      <c r="AH10" s="9">
        <v>4</v>
      </c>
      <c r="AI10" s="9">
        <v>12</v>
      </c>
      <c r="AJ10" s="9">
        <v>2</v>
      </c>
      <c r="AK10" s="9">
        <v>0</v>
      </c>
      <c r="AL10" t="s">
        <v>250</v>
      </c>
      <c r="AO10" s="9" t="s">
        <v>87</v>
      </c>
      <c r="AP10" s="9">
        <v>0</v>
      </c>
    </row>
    <row r="11" spans="1:45" x14ac:dyDescent="0.2">
      <c r="A11" s="13" t="s">
        <v>560</v>
      </c>
      <c r="B11" t="s">
        <v>381</v>
      </c>
      <c r="D11" t="s">
        <v>254</v>
      </c>
      <c r="E11" t="s">
        <v>59</v>
      </c>
      <c r="F11" s="8">
        <v>46008</v>
      </c>
      <c r="G11" s="9" t="s">
        <v>55</v>
      </c>
      <c r="H11" t="str">
        <f>HYPERLINK("https://app.acclaimip.com/pdf/24ybgUvLJv_sjJod-csm8aLgPFOI3_ABSbWtxNo/US20240013032A1")</f>
        <v>https://app.acclaimip.com/pdf/24ybgUvLJv_sjJod-csm8aLgPFOI3_ABSbWtxNo/US20240013032A1</v>
      </c>
      <c r="I11" t="s">
        <v>382</v>
      </c>
      <c r="J11" t="s">
        <v>383</v>
      </c>
      <c r="K11" t="s">
        <v>48</v>
      </c>
      <c r="L11" t="s">
        <v>48</v>
      </c>
      <c r="M11" s="8">
        <v>44235</v>
      </c>
      <c r="N11" s="8">
        <v>44586</v>
      </c>
      <c r="O11" s="8">
        <v>45302</v>
      </c>
      <c r="R11" t="s">
        <v>384</v>
      </c>
      <c r="S11" t="s">
        <v>385</v>
      </c>
      <c r="T11" s="9">
        <v>2</v>
      </c>
      <c r="U11" s="9">
        <v>18</v>
      </c>
      <c r="V11" s="9" t="s">
        <v>51</v>
      </c>
      <c r="W11">
        <v>82742516</v>
      </c>
      <c r="X11" t="s">
        <v>386</v>
      </c>
      <c r="AB11" s="9">
        <v>0</v>
      </c>
      <c r="AC11" s="9">
        <v>82742516</v>
      </c>
      <c r="AD11" s="8">
        <v>44625</v>
      </c>
      <c r="AE11" t="s">
        <v>261</v>
      </c>
      <c r="AF11" t="s">
        <v>85</v>
      </c>
      <c r="AG11" s="9">
        <v>2</v>
      </c>
      <c r="AH11" s="9">
        <v>2</v>
      </c>
      <c r="AI11" s="9">
        <v>16</v>
      </c>
      <c r="AJ11" s="9">
        <v>2</v>
      </c>
      <c r="AK11" s="9">
        <v>0</v>
      </c>
      <c r="AL11" t="s">
        <v>384</v>
      </c>
      <c r="AO11" s="9" t="s">
        <v>87</v>
      </c>
      <c r="AP11" s="9">
        <v>43</v>
      </c>
    </row>
    <row r="12" spans="1:45" x14ac:dyDescent="0.2">
      <c r="A12" s="13" t="s">
        <v>560</v>
      </c>
      <c r="B12" t="s">
        <v>255</v>
      </c>
      <c r="D12" t="s">
        <v>254</v>
      </c>
      <c r="E12" t="s">
        <v>59</v>
      </c>
      <c r="F12" s="8">
        <v>46022</v>
      </c>
      <c r="G12" s="9" t="s">
        <v>55</v>
      </c>
      <c r="H12" t="str">
        <f>HYPERLINK("https://app.acclaimip.com/pdf/ESBeGtDa6QxFIF-GYtrpAgt6_KhiTo9ldISqWhA/US20230368038A1")</f>
        <v>https://app.acclaimip.com/pdf/ESBeGtDa6QxFIF-GYtrpAgt6_KhiTo9ldISqWhA/US20230368038A1</v>
      </c>
      <c r="I12" t="s">
        <v>256</v>
      </c>
      <c r="J12" t="s">
        <v>257</v>
      </c>
      <c r="K12" t="s">
        <v>48</v>
      </c>
      <c r="L12" t="s">
        <v>48</v>
      </c>
      <c r="M12" s="8">
        <v>44232</v>
      </c>
      <c r="N12" s="8">
        <v>44585</v>
      </c>
      <c r="O12" s="8">
        <v>45246</v>
      </c>
      <c r="R12" t="s">
        <v>258</v>
      </c>
      <c r="S12" t="s">
        <v>259</v>
      </c>
      <c r="T12" s="9">
        <v>2</v>
      </c>
      <c r="U12" s="9">
        <v>11</v>
      </c>
      <c r="V12" s="9" t="s">
        <v>51</v>
      </c>
      <c r="W12">
        <v>82742503</v>
      </c>
      <c r="X12" t="s">
        <v>260</v>
      </c>
      <c r="AB12" s="9">
        <v>5</v>
      </c>
      <c r="AC12" s="9">
        <v>82742503</v>
      </c>
      <c r="AD12" s="8">
        <v>44624</v>
      </c>
      <c r="AE12" t="s">
        <v>261</v>
      </c>
      <c r="AF12" t="s">
        <v>85</v>
      </c>
      <c r="AG12" s="9">
        <v>0</v>
      </c>
      <c r="AH12" s="9">
        <v>2</v>
      </c>
      <c r="AI12" s="9">
        <v>9</v>
      </c>
      <c r="AJ12" s="9">
        <v>2</v>
      </c>
      <c r="AK12" s="9">
        <v>0</v>
      </c>
      <c r="AL12" t="s">
        <v>258</v>
      </c>
      <c r="AN12" t="s">
        <v>262</v>
      </c>
      <c r="AO12" s="9" t="s">
        <v>87</v>
      </c>
      <c r="AP12" s="9">
        <v>26</v>
      </c>
    </row>
    <row r="13" spans="1:45" x14ac:dyDescent="0.2">
      <c r="A13" s="13" t="s">
        <v>560</v>
      </c>
      <c r="B13" t="s">
        <v>364</v>
      </c>
      <c r="D13" t="s">
        <v>254</v>
      </c>
      <c r="E13" t="s">
        <v>59</v>
      </c>
      <c r="F13" s="8">
        <v>46035</v>
      </c>
      <c r="G13" s="9" t="s">
        <v>55</v>
      </c>
      <c r="H13" t="str">
        <f>HYPERLINK("https://app.acclaimip.com/pdf/qQPN3y2sriqtA8xDn6yuJON4rM5L8W17yFHtjag/US20200410210A1")</f>
        <v>https://app.acclaimip.com/pdf/qQPN3y2sriqtA8xDn6yuJON4rM5L8W17yFHtjag/US20200410210A1</v>
      </c>
      <c r="I13" t="s">
        <v>365</v>
      </c>
      <c r="J13" t="s">
        <v>366</v>
      </c>
      <c r="K13" t="s">
        <v>48</v>
      </c>
      <c r="L13" t="s">
        <v>48</v>
      </c>
      <c r="M13" s="8">
        <v>43171</v>
      </c>
      <c r="N13" s="8">
        <v>43536</v>
      </c>
      <c r="O13" s="8">
        <v>44196</v>
      </c>
      <c r="R13" t="s">
        <v>367</v>
      </c>
      <c r="S13" t="s">
        <v>368</v>
      </c>
      <c r="T13" s="9">
        <v>2</v>
      </c>
      <c r="U13" s="9">
        <v>10</v>
      </c>
      <c r="V13" s="9" t="s">
        <v>51</v>
      </c>
      <c r="W13">
        <v>67907256</v>
      </c>
      <c r="X13" t="s">
        <v>369</v>
      </c>
      <c r="AB13" s="9">
        <v>1</v>
      </c>
      <c r="AC13" s="9">
        <v>67907256</v>
      </c>
      <c r="AD13" s="8">
        <v>44257</v>
      </c>
      <c r="AE13" t="s">
        <v>370</v>
      </c>
      <c r="AF13" t="s">
        <v>85</v>
      </c>
      <c r="AG13" s="9">
        <v>36</v>
      </c>
      <c r="AH13" s="9">
        <v>1</v>
      </c>
      <c r="AI13" s="9">
        <v>9</v>
      </c>
      <c r="AJ13" s="9">
        <v>8</v>
      </c>
      <c r="AK13" s="9">
        <v>3</v>
      </c>
      <c r="AL13" t="s">
        <v>371</v>
      </c>
      <c r="AN13" t="s">
        <v>372</v>
      </c>
      <c r="AO13" s="9" t="s">
        <v>87</v>
      </c>
      <c r="AP13" s="9">
        <v>21</v>
      </c>
    </row>
    <row r="14" spans="1:45" x14ac:dyDescent="0.2">
      <c r="A14" s="13" t="s">
        <v>560</v>
      </c>
      <c r="B14" t="s">
        <v>466</v>
      </c>
      <c r="D14" t="s">
        <v>88</v>
      </c>
      <c r="E14" t="s">
        <v>59</v>
      </c>
      <c r="F14" s="8">
        <v>46021</v>
      </c>
      <c r="G14" s="9" t="s">
        <v>55</v>
      </c>
      <c r="H14" t="str">
        <f>HYPERLINK("https://app.acclaimip.com/pdf/FoZ2Q483fLgahnffPTd8tlR8dB9qjSnvf_OMXRc/US20250182444A1")</f>
        <v>https://app.acclaimip.com/pdf/FoZ2Q483fLgahnffPTd8tlR8dB9qjSnvf_OMXRc/US20250182444A1</v>
      </c>
      <c r="I14" t="s">
        <v>467</v>
      </c>
      <c r="J14" t="s">
        <v>468</v>
      </c>
      <c r="K14" t="s">
        <v>48</v>
      </c>
      <c r="L14" t="s">
        <v>48</v>
      </c>
      <c r="M14" s="8">
        <v>44652</v>
      </c>
      <c r="N14" s="8">
        <v>45019</v>
      </c>
      <c r="O14" s="8">
        <v>45813</v>
      </c>
      <c r="R14" t="s">
        <v>469</v>
      </c>
      <c r="S14" t="s">
        <v>470</v>
      </c>
      <c r="T14" s="9">
        <v>2</v>
      </c>
      <c r="U14" s="9">
        <v>26</v>
      </c>
      <c r="V14" s="9" t="s">
        <v>51</v>
      </c>
      <c r="W14">
        <v>88203374</v>
      </c>
      <c r="X14" t="s">
        <v>471</v>
      </c>
      <c r="AB14" s="9">
        <v>1</v>
      </c>
      <c r="AC14" s="9">
        <v>88203374</v>
      </c>
      <c r="AD14" s="8">
        <v>45023</v>
      </c>
      <c r="AE14" t="s">
        <v>472</v>
      </c>
      <c r="AF14" t="s">
        <v>85</v>
      </c>
      <c r="AG14" s="9">
        <v>3</v>
      </c>
      <c r="AH14" s="9">
        <v>2</v>
      </c>
      <c r="AI14" s="9">
        <v>24</v>
      </c>
      <c r="AJ14" s="9">
        <v>1</v>
      </c>
      <c r="AK14" s="9">
        <v>0</v>
      </c>
      <c r="AL14" t="s">
        <v>473</v>
      </c>
      <c r="AN14" t="s">
        <v>474</v>
      </c>
      <c r="AO14" s="9" t="s">
        <v>87</v>
      </c>
      <c r="AP14" s="9">
        <v>27</v>
      </c>
    </row>
    <row r="15" spans="1:45" x14ac:dyDescent="0.2">
      <c r="A15" s="13" t="s">
        <v>560</v>
      </c>
      <c r="B15" t="s">
        <v>182</v>
      </c>
      <c r="D15" t="s">
        <v>88</v>
      </c>
      <c r="E15" t="s">
        <v>59</v>
      </c>
      <c r="F15" s="8">
        <v>45960</v>
      </c>
      <c r="G15" s="9" t="s">
        <v>55</v>
      </c>
      <c r="H15" t="str">
        <f>HYPERLINK("https://app.acclaimip.com/pdf/X7Pn0ZWAMACys-ZNJ4AwDvzlTg5h8v-7ITrlsl4/US20240161469A1")</f>
        <v>https://app.acclaimip.com/pdf/X7Pn0ZWAMACys-ZNJ4AwDvzlTg5h8v-7ITrlsl4/US20240161469A1</v>
      </c>
      <c r="I15" t="s">
        <v>183</v>
      </c>
      <c r="J15" t="s">
        <v>184</v>
      </c>
      <c r="K15" t="s">
        <v>48</v>
      </c>
      <c r="L15" t="s">
        <v>48</v>
      </c>
      <c r="M15" s="8">
        <v>44879</v>
      </c>
      <c r="N15" s="8">
        <v>45244</v>
      </c>
      <c r="O15" s="8">
        <v>45428</v>
      </c>
      <c r="R15" t="s">
        <v>185</v>
      </c>
      <c r="T15" s="9">
        <v>1</v>
      </c>
      <c r="U15" s="9">
        <v>12</v>
      </c>
      <c r="V15" s="9" t="s">
        <v>51</v>
      </c>
      <c r="W15">
        <v>91028501</v>
      </c>
      <c r="X15" t="s">
        <v>186</v>
      </c>
      <c r="AB15" s="9">
        <v>0</v>
      </c>
      <c r="AC15" s="9">
        <v>91028501</v>
      </c>
      <c r="AD15" s="8">
        <v>45379</v>
      </c>
      <c r="AE15" t="s">
        <v>187</v>
      </c>
      <c r="AF15" t="s">
        <v>85</v>
      </c>
      <c r="AG15" s="9">
        <v>1</v>
      </c>
      <c r="AH15" s="9">
        <v>2</v>
      </c>
      <c r="AI15" s="9">
        <v>10</v>
      </c>
      <c r="AJ15" s="9">
        <v>1</v>
      </c>
      <c r="AK15" s="9">
        <v>0</v>
      </c>
      <c r="AL15" t="s">
        <v>185</v>
      </c>
      <c r="AO15" s="9" t="s">
        <v>87</v>
      </c>
      <c r="AP15" s="9">
        <v>1</v>
      </c>
    </row>
    <row r="16" spans="1:45" x14ac:dyDescent="0.2">
      <c r="A16" s="13" t="s">
        <v>560</v>
      </c>
      <c r="B16" t="s">
        <v>140</v>
      </c>
      <c r="D16" t="s">
        <v>88</v>
      </c>
      <c r="E16" t="s">
        <v>59</v>
      </c>
      <c r="F16" s="8">
        <v>45849</v>
      </c>
      <c r="G16" s="9" t="s">
        <v>55</v>
      </c>
      <c r="H16" t="str">
        <f>HYPERLINK("https://app.acclaimip.com/pdf/FtOauNqrTQmF05skaKtNB8v2qNWdpYY-dsacMBc/US20240104761A1")</f>
        <v>https://app.acclaimip.com/pdf/FtOauNqrTQmF05skaKtNB8v2qNWdpYY-dsacMBc/US20240104761A1</v>
      </c>
      <c r="I16" t="s">
        <v>141</v>
      </c>
      <c r="J16" t="s">
        <v>142</v>
      </c>
      <c r="K16" t="s">
        <v>48</v>
      </c>
      <c r="L16" t="s">
        <v>48</v>
      </c>
      <c r="M16" s="8">
        <v>44285</v>
      </c>
      <c r="N16" s="8">
        <v>44629</v>
      </c>
      <c r="O16" s="8">
        <v>45379</v>
      </c>
      <c r="R16" t="s">
        <v>143</v>
      </c>
      <c r="S16" t="s">
        <v>144</v>
      </c>
      <c r="T16" s="9">
        <v>2</v>
      </c>
      <c r="U16" s="9">
        <v>24</v>
      </c>
      <c r="V16" s="9" t="s">
        <v>51</v>
      </c>
      <c r="W16">
        <v>83459606</v>
      </c>
      <c r="X16" t="s">
        <v>145</v>
      </c>
      <c r="AB16" s="9">
        <v>0</v>
      </c>
      <c r="AC16" s="9">
        <v>83459606</v>
      </c>
      <c r="AD16" s="8">
        <v>45574</v>
      </c>
      <c r="AE16" t="s">
        <v>146</v>
      </c>
      <c r="AF16" t="s">
        <v>85</v>
      </c>
      <c r="AG16" s="9">
        <v>3</v>
      </c>
      <c r="AH16" s="9">
        <v>1</v>
      </c>
      <c r="AI16" s="9">
        <v>23</v>
      </c>
      <c r="AJ16" s="9">
        <v>1</v>
      </c>
      <c r="AK16" s="9">
        <v>0</v>
      </c>
      <c r="AL16" t="s">
        <v>147</v>
      </c>
      <c r="AO16" s="9" t="s">
        <v>87</v>
      </c>
      <c r="AP16" s="9">
        <v>0</v>
      </c>
    </row>
    <row r="17" spans="1:42" x14ac:dyDescent="0.2">
      <c r="A17" s="13" t="s">
        <v>560</v>
      </c>
      <c r="B17" t="s">
        <v>78</v>
      </c>
      <c r="D17" t="s">
        <v>88</v>
      </c>
      <c r="E17" t="s">
        <v>59</v>
      </c>
      <c r="F17" s="8">
        <v>45846</v>
      </c>
      <c r="G17" s="9" t="s">
        <v>55</v>
      </c>
      <c r="H17" t="str">
        <f>HYPERLINK("https://app.acclaimip.com/pdf/BPBXJIKJ4OgL8Fa4MIng5kXWvI0oPyrbFmDzpAU/US20240071029A1")</f>
        <v>https://app.acclaimip.com/pdf/BPBXJIKJ4OgL8Fa4MIng5kXWvI0oPyrbFmDzpAU/US20240071029A1</v>
      </c>
      <c r="I17" t="s">
        <v>79</v>
      </c>
      <c r="J17" t="s">
        <v>80</v>
      </c>
      <c r="K17" t="s">
        <v>48</v>
      </c>
      <c r="L17" t="s">
        <v>48</v>
      </c>
      <c r="M17" s="8">
        <v>44231</v>
      </c>
      <c r="N17" s="8">
        <v>44585</v>
      </c>
      <c r="O17" s="8">
        <v>45351</v>
      </c>
      <c r="R17" t="s">
        <v>81</v>
      </c>
      <c r="S17" t="s">
        <v>82</v>
      </c>
      <c r="T17" s="9">
        <v>2</v>
      </c>
      <c r="U17" s="9">
        <v>16</v>
      </c>
      <c r="V17" s="9" t="s">
        <v>51</v>
      </c>
      <c r="W17">
        <v>82742502</v>
      </c>
      <c r="X17" t="s">
        <v>83</v>
      </c>
      <c r="AB17" s="9">
        <v>0</v>
      </c>
      <c r="AC17" s="9">
        <v>82742502</v>
      </c>
      <c r="AD17" s="8">
        <v>45802</v>
      </c>
      <c r="AE17" t="s">
        <v>84</v>
      </c>
      <c r="AF17" t="s">
        <v>85</v>
      </c>
      <c r="AG17" s="9">
        <v>2</v>
      </c>
      <c r="AH17" s="9">
        <v>1</v>
      </c>
      <c r="AI17" s="9">
        <v>15</v>
      </c>
      <c r="AJ17" s="9">
        <v>1</v>
      </c>
      <c r="AK17" s="9">
        <v>0</v>
      </c>
      <c r="AL17" t="s">
        <v>86</v>
      </c>
      <c r="AO17" s="9" t="s">
        <v>87</v>
      </c>
      <c r="AP17" s="9">
        <v>7</v>
      </c>
    </row>
    <row r="18" spans="1:42" x14ac:dyDescent="0.2">
      <c r="A18" s="13" t="s">
        <v>560</v>
      </c>
      <c r="B18" t="s">
        <v>99</v>
      </c>
      <c r="D18" t="s">
        <v>88</v>
      </c>
      <c r="E18" t="s">
        <v>59</v>
      </c>
      <c r="F18" s="8">
        <v>45838</v>
      </c>
      <c r="G18" s="9" t="s">
        <v>55</v>
      </c>
      <c r="H18" t="str">
        <f>HYPERLINK("https://app.acclaimip.com/pdf/ImwJqIFeslj1bAg0M16yVrs08EZeeek497WnQyM/US20240054775A1")</f>
        <v>https://app.acclaimip.com/pdf/ImwJqIFeslj1bAg0M16yVrs08EZeeek497WnQyM/US20240054775A1</v>
      </c>
      <c r="I18" t="s">
        <v>100</v>
      </c>
      <c r="J18" t="s">
        <v>101</v>
      </c>
      <c r="K18" t="s">
        <v>48</v>
      </c>
      <c r="L18" t="s">
        <v>48</v>
      </c>
      <c r="M18" s="8">
        <v>44237</v>
      </c>
      <c r="N18" s="8">
        <v>44592</v>
      </c>
      <c r="O18" s="8">
        <v>45337</v>
      </c>
      <c r="R18" t="s">
        <v>102</v>
      </c>
      <c r="S18" t="s">
        <v>103</v>
      </c>
      <c r="T18" s="9">
        <v>2</v>
      </c>
      <c r="U18" s="9">
        <v>13</v>
      </c>
      <c r="V18" s="9" t="s">
        <v>51</v>
      </c>
      <c r="W18">
        <v>82837960</v>
      </c>
      <c r="X18" t="s">
        <v>104</v>
      </c>
      <c r="AB18" s="9">
        <v>0</v>
      </c>
      <c r="AC18" s="9">
        <v>82837960</v>
      </c>
      <c r="AD18" s="8">
        <v>45168</v>
      </c>
      <c r="AE18" t="s">
        <v>105</v>
      </c>
      <c r="AF18" t="s">
        <v>85</v>
      </c>
      <c r="AG18" s="9">
        <v>1</v>
      </c>
      <c r="AH18" s="9">
        <v>1</v>
      </c>
      <c r="AI18" s="9">
        <v>12</v>
      </c>
      <c r="AJ18" s="9">
        <v>1</v>
      </c>
      <c r="AK18" s="9">
        <v>0</v>
      </c>
      <c r="AL18" t="s">
        <v>102</v>
      </c>
      <c r="AO18" s="9" t="s">
        <v>87</v>
      </c>
      <c r="AP18" s="9">
        <v>0</v>
      </c>
    </row>
    <row r="19" spans="1:42" x14ac:dyDescent="0.2">
      <c r="A19" s="13" t="s">
        <v>560</v>
      </c>
      <c r="B19" s="10" t="s">
        <v>524</v>
      </c>
      <c r="C19" t="s">
        <v>525</v>
      </c>
      <c r="D19" t="s">
        <v>533</v>
      </c>
      <c r="E19" t="s">
        <v>534</v>
      </c>
      <c r="F19" s="8">
        <v>42793</v>
      </c>
      <c r="G19" s="9" t="s">
        <v>55</v>
      </c>
      <c r="H19" t="str">
        <f>HYPERLINK("https://app.acclaimip.com/pdf/ooAr5fqtIyVlgCp5SK0jKyuxd96m9c8nQCEPP6M/US7483569B2")</f>
        <v>https://app.acclaimip.com/pdf/ooAr5fqtIyVlgCp5SK0jKyuxd96m9c8nQCEPP6M/US7483569B2</v>
      </c>
      <c r="I19" t="s">
        <v>526</v>
      </c>
      <c r="J19" t="s">
        <v>527</v>
      </c>
      <c r="K19" t="s">
        <v>159</v>
      </c>
      <c r="L19" t="s">
        <v>48</v>
      </c>
      <c r="M19" s="8">
        <v>37770</v>
      </c>
      <c r="N19" s="8">
        <v>38135</v>
      </c>
      <c r="O19" s="8">
        <v>39840</v>
      </c>
      <c r="P19" s="8">
        <v>42762</v>
      </c>
      <c r="Q19" s="8">
        <v>42762</v>
      </c>
      <c r="R19" t="s">
        <v>528</v>
      </c>
      <c r="S19" t="s">
        <v>529</v>
      </c>
      <c r="T19" s="9">
        <v>2</v>
      </c>
      <c r="U19" s="9">
        <v>12</v>
      </c>
      <c r="V19" s="9" t="s">
        <v>51</v>
      </c>
      <c r="W19">
        <v>34083136</v>
      </c>
      <c r="X19" t="s">
        <v>530</v>
      </c>
      <c r="Y19" t="s">
        <v>529</v>
      </c>
      <c r="AA19" t="s">
        <v>529</v>
      </c>
      <c r="AB19" s="9">
        <v>58</v>
      </c>
      <c r="AC19" s="9">
        <v>34083136</v>
      </c>
      <c r="AD19" s="8">
        <v>38252</v>
      </c>
      <c r="AE19" t="s">
        <v>531</v>
      </c>
      <c r="AG19" s="9">
        <v>7</v>
      </c>
      <c r="AH19" s="9">
        <v>3</v>
      </c>
      <c r="AI19" s="9">
        <v>9</v>
      </c>
      <c r="AJ19" s="9">
        <v>4</v>
      </c>
      <c r="AK19" s="9">
        <v>0</v>
      </c>
      <c r="AL19" t="s">
        <v>528</v>
      </c>
      <c r="AN19" t="s">
        <v>532</v>
      </c>
      <c r="AO19" s="9" t="s">
        <v>57</v>
      </c>
      <c r="AP19" s="9">
        <v>42</v>
      </c>
    </row>
    <row r="20" spans="1:42" x14ac:dyDescent="0.2">
      <c r="A20" s="13" t="s">
        <v>560</v>
      </c>
      <c r="B20" t="s">
        <v>373</v>
      </c>
      <c r="C20" t="s">
        <v>45</v>
      </c>
      <c r="D20" t="s">
        <v>58</v>
      </c>
      <c r="E20" t="s">
        <v>59</v>
      </c>
      <c r="F20" s="8">
        <v>43152</v>
      </c>
      <c r="G20" s="9" t="s">
        <v>55</v>
      </c>
      <c r="H20" t="str">
        <f>HYPERLINK("https://app.acclaimip.com/pdf/E1PHOxCYJFW3U8anopgkW_laqRc4PZXWinNWmRI/US9916685B1")</f>
        <v>https://app.acclaimip.com/pdf/E1PHOxCYJFW3U8anopgkW_laqRc4PZXWinNWmRI/US9916685B1</v>
      </c>
      <c r="I20" t="s">
        <v>374</v>
      </c>
      <c r="J20" t="s">
        <v>375</v>
      </c>
      <c r="K20" t="s">
        <v>159</v>
      </c>
      <c r="L20" t="s">
        <v>48</v>
      </c>
      <c r="M20" s="8">
        <v>42122</v>
      </c>
      <c r="N20" s="8">
        <v>42488</v>
      </c>
      <c r="O20" s="8">
        <v>43172</v>
      </c>
      <c r="P20" s="8">
        <v>47555</v>
      </c>
      <c r="Q20" s="8">
        <v>49793</v>
      </c>
      <c r="R20" t="s">
        <v>376</v>
      </c>
      <c r="T20" s="9">
        <v>1</v>
      </c>
      <c r="U20" s="9">
        <v>10</v>
      </c>
      <c r="V20" s="9" t="s">
        <v>51</v>
      </c>
      <c r="W20">
        <v>61525617</v>
      </c>
      <c r="X20" t="s">
        <v>377</v>
      </c>
      <c r="AB20" s="9">
        <v>3</v>
      </c>
      <c r="AC20" s="9">
        <v>40853417</v>
      </c>
      <c r="AD20" s="8">
        <v>42599</v>
      </c>
      <c r="AE20" t="s">
        <v>378</v>
      </c>
      <c r="AG20" s="9">
        <v>5</v>
      </c>
      <c r="AH20" s="9">
        <v>1</v>
      </c>
      <c r="AI20" s="9">
        <v>9</v>
      </c>
      <c r="AJ20" s="9">
        <v>1</v>
      </c>
      <c r="AK20" s="9">
        <v>0</v>
      </c>
      <c r="AL20" t="s">
        <v>379</v>
      </c>
      <c r="AN20" t="s">
        <v>380</v>
      </c>
      <c r="AO20" s="9" t="s">
        <v>316</v>
      </c>
      <c r="AP20" s="9">
        <v>10</v>
      </c>
    </row>
    <row r="21" spans="1:42" x14ac:dyDescent="0.2">
      <c r="A21" s="13" t="s">
        <v>560</v>
      </c>
      <c r="B21" t="s">
        <v>416</v>
      </c>
      <c r="C21" t="s">
        <v>45</v>
      </c>
      <c r="D21" t="s">
        <v>58</v>
      </c>
      <c r="E21" t="s">
        <v>59</v>
      </c>
      <c r="F21" s="8">
        <v>42480</v>
      </c>
      <c r="G21" s="9" t="s">
        <v>55</v>
      </c>
      <c r="H21" t="str">
        <f>HYPERLINK("https://app.acclaimip.com/pdf/C_zPTaqP0sT__M7RGI_SyrHk629TxIvXbhWHsAo/US9336439B2")</f>
        <v>https://app.acclaimip.com/pdf/C_zPTaqP0sT__M7RGI_SyrHk629TxIvXbhWHsAo/US9336439B2</v>
      </c>
      <c r="I21" t="s">
        <v>417</v>
      </c>
      <c r="J21" t="s">
        <v>418</v>
      </c>
      <c r="K21" t="s">
        <v>159</v>
      </c>
      <c r="L21" t="s">
        <v>48</v>
      </c>
      <c r="M21" s="8">
        <v>40828</v>
      </c>
      <c r="N21" s="8">
        <v>41194</v>
      </c>
      <c r="O21" s="8">
        <v>42500</v>
      </c>
      <c r="P21" s="8">
        <v>46883</v>
      </c>
      <c r="Q21" s="8">
        <v>48499</v>
      </c>
      <c r="R21" t="s">
        <v>419</v>
      </c>
      <c r="S21" t="s">
        <v>420</v>
      </c>
      <c r="T21" s="9">
        <v>3</v>
      </c>
      <c r="U21" s="9">
        <v>22</v>
      </c>
      <c r="V21" s="9" t="s">
        <v>51</v>
      </c>
      <c r="W21">
        <v>48082470</v>
      </c>
      <c r="X21" t="s">
        <v>421</v>
      </c>
      <c r="Y21" t="s">
        <v>422</v>
      </c>
      <c r="AA21" t="s">
        <v>422</v>
      </c>
      <c r="AB21" s="9">
        <v>14</v>
      </c>
      <c r="AC21" s="9">
        <v>48082470</v>
      </c>
      <c r="AD21" s="8">
        <v>41793</v>
      </c>
      <c r="AE21" t="s">
        <v>423</v>
      </c>
      <c r="AG21" s="9">
        <v>12</v>
      </c>
      <c r="AH21" s="9">
        <v>3</v>
      </c>
      <c r="AI21" s="9">
        <v>19</v>
      </c>
      <c r="AJ21" s="9">
        <v>1</v>
      </c>
      <c r="AK21" s="9">
        <v>0</v>
      </c>
      <c r="AL21" t="s">
        <v>419</v>
      </c>
      <c r="AN21" t="s">
        <v>424</v>
      </c>
      <c r="AO21" s="9" t="s">
        <v>57</v>
      </c>
      <c r="AP21" s="9">
        <v>58</v>
      </c>
    </row>
    <row r="22" spans="1:42" x14ac:dyDescent="0.2">
      <c r="A22" s="13" t="s">
        <v>560</v>
      </c>
      <c r="B22" t="s">
        <v>222</v>
      </c>
      <c r="C22" t="s">
        <v>45</v>
      </c>
      <c r="D22" t="s">
        <v>58</v>
      </c>
      <c r="E22" t="s">
        <v>59</v>
      </c>
      <c r="F22" s="8">
        <v>42452</v>
      </c>
      <c r="G22" s="9" t="s">
        <v>55</v>
      </c>
      <c r="H22" t="str">
        <f>HYPERLINK("https://app.acclaimip.com/pdf/MgeY7VBRRvB8B5lx4lFG_jKHwXcggbndylg8fDM/US9311564B2")</f>
        <v>https://app.acclaimip.com/pdf/MgeY7VBRRvB8B5lx4lFG_jKHwXcggbndylg8fDM/US9311564B2</v>
      </c>
      <c r="I22" t="s">
        <v>223</v>
      </c>
      <c r="J22" t="s">
        <v>224</v>
      </c>
      <c r="K22" t="s">
        <v>159</v>
      </c>
      <c r="L22" t="s">
        <v>48</v>
      </c>
      <c r="M22" s="8">
        <v>41187</v>
      </c>
      <c r="N22" s="8">
        <v>41551</v>
      </c>
      <c r="O22" s="8">
        <v>42472</v>
      </c>
      <c r="P22" s="8">
        <v>46855</v>
      </c>
      <c r="Q22" s="8">
        <v>49063</v>
      </c>
      <c r="R22" t="s">
        <v>225</v>
      </c>
      <c r="S22" t="s">
        <v>226</v>
      </c>
      <c r="T22" s="9">
        <v>2</v>
      </c>
      <c r="U22" s="9">
        <v>36</v>
      </c>
      <c r="V22" s="9" t="s">
        <v>51</v>
      </c>
      <c r="W22">
        <v>50432713</v>
      </c>
      <c r="X22" t="s">
        <v>227</v>
      </c>
      <c r="Y22" t="s">
        <v>226</v>
      </c>
      <c r="AA22" t="s">
        <v>226</v>
      </c>
      <c r="AB22" s="9">
        <v>64</v>
      </c>
      <c r="AC22" s="9">
        <v>50432713</v>
      </c>
      <c r="AD22" s="8">
        <v>41551</v>
      </c>
      <c r="AE22" t="s">
        <v>228</v>
      </c>
      <c r="AG22" s="9">
        <v>13</v>
      </c>
      <c r="AH22" s="9">
        <v>4</v>
      </c>
      <c r="AI22" s="9">
        <v>32</v>
      </c>
      <c r="AJ22" s="9">
        <v>1</v>
      </c>
      <c r="AK22" s="9">
        <v>0</v>
      </c>
      <c r="AL22" t="s">
        <v>229</v>
      </c>
      <c r="AN22" t="s">
        <v>230</v>
      </c>
      <c r="AO22" s="9" t="s">
        <v>57</v>
      </c>
      <c r="AP22" s="9">
        <v>64</v>
      </c>
    </row>
    <row r="23" spans="1:42" x14ac:dyDescent="0.2">
      <c r="A23" s="13" t="s">
        <v>560</v>
      </c>
      <c r="B23" t="s">
        <v>435</v>
      </c>
      <c r="C23" t="s">
        <v>45</v>
      </c>
      <c r="D23" t="s">
        <v>58</v>
      </c>
      <c r="E23" t="s">
        <v>59</v>
      </c>
      <c r="F23" s="8">
        <v>42284</v>
      </c>
      <c r="G23" s="9" t="s">
        <v>55</v>
      </c>
      <c r="H23" t="str">
        <f>HYPERLINK("https://app.acclaimip.com/pdf/NSxRGyWLsDLyLFCHl4uwPLxpZYMaNLZTe6W0kzQ/US9171226B2")</f>
        <v>https://app.acclaimip.com/pdf/NSxRGyWLsDLyLFCHl4uwPLxpZYMaNLZTe6W0kzQ/US9171226B2</v>
      </c>
      <c r="I23" t="s">
        <v>436</v>
      </c>
      <c r="J23" t="s">
        <v>437</v>
      </c>
      <c r="K23" t="s">
        <v>159</v>
      </c>
      <c r="L23" t="s">
        <v>48</v>
      </c>
      <c r="M23" s="8">
        <v>41178</v>
      </c>
      <c r="N23" s="8">
        <v>41543</v>
      </c>
      <c r="O23" s="8">
        <v>42304</v>
      </c>
      <c r="P23" s="8">
        <v>46687</v>
      </c>
      <c r="Q23" s="8">
        <v>48969</v>
      </c>
      <c r="R23" t="s">
        <v>438</v>
      </c>
      <c r="S23" t="s">
        <v>439</v>
      </c>
      <c r="T23" s="9">
        <v>2</v>
      </c>
      <c r="U23" s="9">
        <v>22</v>
      </c>
      <c r="V23" s="9" t="s">
        <v>51</v>
      </c>
      <c r="W23">
        <v>51223018</v>
      </c>
      <c r="X23" t="s">
        <v>440</v>
      </c>
      <c r="Y23" t="s">
        <v>439</v>
      </c>
      <c r="AA23" t="s">
        <v>439</v>
      </c>
      <c r="AB23" s="9">
        <v>14</v>
      </c>
      <c r="AC23" s="9">
        <v>51223018</v>
      </c>
      <c r="AD23" s="8">
        <v>41550</v>
      </c>
      <c r="AE23" t="s">
        <v>441</v>
      </c>
      <c r="AG23" s="9">
        <v>4</v>
      </c>
      <c r="AH23" s="9">
        <v>2</v>
      </c>
      <c r="AI23" s="9">
        <v>20</v>
      </c>
      <c r="AJ23" s="9">
        <v>1</v>
      </c>
      <c r="AK23" s="9">
        <v>0</v>
      </c>
      <c r="AL23" t="s">
        <v>442</v>
      </c>
      <c r="AN23" t="s">
        <v>443</v>
      </c>
      <c r="AO23" s="9" t="s">
        <v>57</v>
      </c>
      <c r="AP23" s="9">
        <v>45</v>
      </c>
    </row>
    <row r="24" spans="1:42" x14ac:dyDescent="0.2">
      <c r="A24" s="13" t="s">
        <v>560</v>
      </c>
      <c r="B24" t="s">
        <v>301</v>
      </c>
      <c r="C24" t="s">
        <v>45</v>
      </c>
      <c r="D24" t="s">
        <v>58</v>
      </c>
      <c r="E24" t="s">
        <v>59</v>
      </c>
      <c r="F24" s="8">
        <v>41906</v>
      </c>
      <c r="G24" s="9" t="s">
        <v>55</v>
      </c>
      <c r="H24" t="str">
        <f>HYPERLINK("https://app.acclaimip.com/pdf/Jc6ZUpSM6fO3zpjOJozp_fnGqZWBvFQGaA9YwSQ/US8861800B2")</f>
        <v>https://app.acclaimip.com/pdf/Jc6ZUpSM6fO3zpjOJozp_fnGqZWBvFQGaA9YwSQ/US8861800B2</v>
      </c>
      <c r="I24" t="s">
        <v>302</v>
      </c>
      <c r="J24" t="s">
        <v>303</v>
      </c>
      <c r="K24" t="s">
        <v>159</v>
      </c>
      <c r="L24" t="s">
        <v>48</v>
      </c>
      <c r="M24" s="8">
        <v>40378</v>
      </c>
      <c r="N24" s="8">
        <v>40743</v>
      </c>
      <c r="O24" s="8">
        <v>41926</v>
      </c>
      <c r="P24" s="8">
        <v>46309</v>
      </c>
      <c r="Q24" s="8">
        <v>48347</v>
      </c>
      <c r="R24" t="s">
        <v>304</v>
      </c>
      <c r="S24" t="s">
        <v>305</v>
      </c>
      <c r="T24" s="9">
        <v>2</v>
      </c>
      <c r="U24" s="9">
        <v>22</v>
      </c>
      <c r="V24" s="9" t="s">
        <v>51</v>
      </c>
      <c r="W24">
        <v>46490818</v>
      </c>
      <c r="X24" t="s">
        <v>306</v>
      </c>
      <c r="Y24" t="s">
        <v>305</v>
      </c>
      <c r="AA24" t="s">
        <v>305</v>
      </c>
      <c r="AB24" s="9">
        <v>103</v>
      </c>
      <c r="AC24" s="9">
        <v>46490818</v>
      </c>
      <c r="AD24" s="8">
        <v>40795</v>
      </c>
      <c r="AE24" t="s">
        <v>307</v>
      </c>
      <c r="AG24" s="9">
        <v>34</v>
      </c>
      <c r="AH24" s="9">
        <v>2</v>
      </c>
      <c r="AI24" s="9">
        <v>20</v>
      </c>
      <c r="AJ24" s="9">
        <v>2</v>
      </c>
      <c r="AK24" s="9">
        <v>0</v>
      </c>
      <c r="AL24" t="s">
        <v>304</v>
      </c>
      <c r="AN24" t="s">
        <v>308</v>
      </c>
      <c r="AO24" s="9" t="s">
        <v>57</v>
      </c>
      <c r="AP24" s="9">
        <v>53</v>
      </c>
    </row>
    <row r="25" spans="1:42" x14ac:dyDescent="0.2">
      <c r="A25" s="13" t="s">
        <v>560</v>
      </c>
      <c r="B25" t="s">
        <v>271</v>
      </c>
      <c r="D25" s="6" t="s">
        <v>58</v>
      </c>
      <c r="E25" t="s">
        <v>59</v>
      </c>
      <c r="F25" s="8">
        <v>46036</v>
      </c>
      <c r="G25" s="9" t="s">
        <v>55</v>
      </c>
      <c r="H25" t="str">
        <f>HYPERLINK("https://app.acclaimip.com/pdf/PmtPxIuBBV-Sa05YOYEFUdwxD0MTKCq4a4bkWT8/US20240355085A1")</f>
        <v>https://app.acclaimip.com/pdf/PmtPxIuBBV-Sa05YOYEFUdwxD0MTKCq4a4bkWT8/US20240355085A1</v>
      </c>
      <c r="I25" t="s">
        <v>272</v>
      </c>
      <c r="J25" t="s">
        <v>273</v>
      </c>
      <c r="K25" t="s">
        <v>48</v>
      </c>
      <c r="L25" t="s">
        <v>48</v>
      </c>
      <c r="M25" s="8">
        <v>44064</v>
      </c>
      <c r="N25" s="8">
        <v>45348</v>
      </c>
      <c r="O25" s="8">
        <v>45589</v>
      </c>
      <c r="R25" t="s">
        <v>49</v>
      </c>
      <c r="S25" t="s">
        <v>274</v>
      </c>
      <c r="T25" s="9">
        <v>3</v>
      </c>
      <c r="U25" s="9">
        <v>19</v>
      </c>
      <c r="V25" s="9" t="s">
        <v>51</v>
      </c>
      <c r="W25">
        <v>80269642</v>
      </c>
      <c r="X25" t="s">
        <v>275</v>
      </c>
      <c r="AB25" s="9">
        <v>0</v>
      </c>
      <c r="AC25" s="9">
        <v>80224460</v>
      </c>
      <c r="AD25" s="8">
        <v>44483</v>
      </c>
      <c r="AE25" t="s">
        <v>54</v>
      </c>
      <c r="AF25" t="s">
        <v>85</v>
      </c>
      <c r="AG25" s="9">
        <v>9</v>
      </c>
      <c r="AH25" s="9">
        <v>1</v>
      </c>
      <c r="AI25" s="9">
        <v>18</v>
      </c>
      <c r="AJ25" s="9">
        <v>1</v>
      </c>
      <c r="AK25" s="9">
        <v>0</v>
      </c>
      <c r="AL25" t="s">
        <v>49</v>
      </c>
      <c r="AO25" s="9" t="s">
        <v>87</v>
      </c>
      <c r="AP25" s="9">
        <v>71</v>
      </c>
    </row>
    <row r="26" spans="1:42" x14ac:dyDescent="0.2">
      <c r="A26" s="13" t="s">
        <v>560</v>
      </c>
      <c r="B26" t="s">
        <v>475</v>
      </c>
      <c r="D26" s="6" t="s">
        <v>58</v>
      </c>
      <c r="E26" t="s">
        <v>59</v>
      </c>
      <c r="F26" s="8">
        <v>46036</v>
      </c>
      <c r="G26" s="9" t="s">
        <v>55</v>
      </c>
      <c r="H26" t="str">
        <f>HYPERLINK("https://app.acclaimip.com/pdf/UxUyrw5A_I-gFTMzvED8ge6j-vQDwItSmhT1glI/US20240046621A1")</f>
        <v>https://app.acclaimip.com/pdf/UxUyrw5A_I-gFTMzvED8ge6j-vQDwItSmhT1glI/US20240046621A1</v>
      </c>
      <c r="I26" t="s">
        <v>476</v>
      </c>
      <c r="J26" t="s">
        <v>477</v>
      </c>
      <c r="K26" t="s">
        <v>48</v>
      </c>
      <c r="L26" t="s">
        <v>48</v>
      </c>
      <c r="M26" s="8">
        <v>44285</v>
      </c>
      <c r="N26" s="8">
        <v>45219</v>
      </c>
      <c r="O26" s="8">
        <v>45330</v>
      </c>
      <c r="R26" t="s">
        <v>478</v>
      </c>
      <c r="T26" s="9">
        <v>1</v>
      </c>
      <c r="U26" s="9">
        <v>12</v>
      </c>
      <c r="V26" s="9" t="s">
        <v>51</v>
      </c>
      <c r="W26">
        <v>89770547</v>
      </c>
      <c r="X26" t="s">
        <v>479</v>
      </c>
      <c r="AB26" s="9">
        <v>0</v>
      </c>
      <c r="AC26" s="9">
        <v>83459606</v>
      </c>
      <c r="AD26" s="8">
        <v>45879</v>
      </c>
      <c r="AE26" t="s">
        <v>480</v>
      </c>
      <c r="AF26" t="s">
        <v>85</v>
      </c>
      <c r="AG26" s="9">
        <v>4</v>
      </c>
      <c r="AH26" s="9">
        <v>2</v>
      </c>
      <c r="AI26" s="9">
        <v>10</v>
      </c>
      <c r="AJ26" s="9">
        <v>0</v>
      </c>
      <c r="AK26" s="9">
        <v>0</v>
      </c>
      <c r="AL26" t="s">
        <v>478</v>
      </c>
      <c r="AO26" s="9" t="s">
        <v>87</v>
      </c>
      <c r="AP26" s="9">
        <v>0</v>
      </c>
    </row>
    <row r="27" spans="1:42" x14ac:dyDescent="0.2">
      <c r="A27" s="13" t="s">
        <v>560</v>
      </c>
      <c r="B27" t="s">
        <v>176</v>
      </c>
      <c r="D27" s="6" t="s">
        <v>58</v>
      </c>
      <c r="E27" t="s">
        <v>59</v>
      </c>
      <c r="F27" s="8">
        <v>46036</v>
      </c>
      <c r="G27" s="9" t="s">
        <v>55</v>
      </c>
      <c r="H27" t="str">
        <f>HYPERLINK("https://app.acclaimip.com/pdf/whAEotIKmKvWEAU-YAqYpZiiMJRBNfgY3xnflMM/US20210034952A1")</f>
        <v>https://app.acclaimip.com/pdf/whAEotIKmKvWEAU-YAqYpZiiMJRBNfgY3xnflMM/US20210034952A1</v>
      </c>
      <c r="I27" t="s">
        <v>177</v>
      </c>
      <c r="J27" t="s">
        <v>178</v>
      </c>
      <c r="K27" t="s">
        <v>48</v>
      </c>
      <c r="L27" t="s">
        <v>48</v>
      </c>
      <c r="M27" s="8">
        <v>43217</v>
      </c>
      <c r="N27" s="8">
        <v>43584</v>
      </c>
      <c r="O27" s="8">
        <v>44231</v>
      </c>
      <c r="R27" t="s">
        <v>179</v>
      </c>
      <c r="S27" t="s">
        <v>180</v>
      </c>
      <c r="T27" s="9">
        <v>2</v>
      </c>
      <c r="U27" s="9">
        <v>18</v>
      </c>
      <c r="V27" s="9" t="s">
        <v>51</v>
      </c>
      <c r="W27">
        <v>68295667</v>
      </c>
      <c r="X27" t="s">
        <v>181</v>
      </c>
      <c r="AB27" s="9">
        <v>0</v>
      </c>
      <c r="AC27" s="9">
        <v>68295667</v>
      </c>
      <c r="AD27" s="8">
        <v>44232</v>
      </c>
      <c r="AE27" t="s">
        <v>128</v>
      </c>
      <c r="AF27" t="s">
        <v>85</v>
      </c>
      <c r="AG27" s="9">
        <v>24</v>
      </c>
      <c r="AH27" s="9">
        <v>1</v>
      </c>
      <c r="AI27" s="9">
        <v>17</v>
      </c>
      <c r="AJ27" s="9">
        <v>10</v>
      </c>
      <c r="AK27" s="9">
        <v>4</v>
      </c>
      <c r="AL27" t="s">
        <v>179</v>
      </c>
      <c r="AO27" s="9" t="s">
        <v>87</v>
      </c>
      <c r="AP27" s="9">
        <v>21</v>
      </c>
    </row>
    <row r="28" spans="1:42" x14ac:dyDescent="0.2">
      <c r="A28" s="13" t="s">
        <v>560</v>
      </c>
      <c r="B28" t="s">
        <v>487</v>
      </c>
      <c r="C28" t="s">
        <v>45</v>
      </c>
      <c r="D28" t="s">
        <v>58</v>
      </c>
      <c r="E28" t="s">
        <v>59</v>
      </c>
      <c r="F28" s="8">
        <v>46001</v>
      </c>
      <c r="G28" s="9" t="s">
        <v>55</v>
      </c>
      <c r="H28" t="str">
        <f>HYPERLINK("https://app.acclaimip.com/pdf/lJlO0iyG2DDkmU9OnobYPqqOSOQx1_KI04Y2Z5U/US12505663B2")</f>
        <v>https://app.acclaimip.com/pdf/lJlO0iyG2DDkmU9OnobYPqqOSOQx1_KI04Y2Z5U/US12505663B2</v>
      </c>
      <c r="I28" t="s">
        <v>488</v>
      </c>
      <c r="J28" t="s">
        <v>489</v>
      </c>
      <c r="K28" t="s">
        <v>48</v>
      </c>
      <c r="L28" t="s">
        <v>48</v>
      </c>
      <c r="M28" s="8">
        <v>44235</v>
      </c>
      <c r="N28" s="8">
        <v>44589</v>
      </c>
      <c r="O28" s="8">
        <v>46014</v>
      </c>
      <c r="P28" s="8">
        <v>47475</v>
      </c>
      <c r="Q28" s="8">
        <v>51894</v>
      </c>
      <c r="R28" t="s">
        <v>490</v>
      </c>
      <c r="S28" t="s">
        <v>491</v>
      </c>
      <c r="T28" s="9">
        <v>3</v>
      </c>
      <c r="U28" s="9">
        <v>8</v>
      </c>
      <c r="V28" s="9" t="s">
        <v>51</v>
      </c>
      <c r="W28">
        <v>83155612</v>
      </c>
      <c r="X28" t="s">
        <v>492</v>
      </c>
      <c r="Y28" t="s">
        <v>493</v>
      </c>
      <c r="AA28" t="s">
        <v>493</v>
      </c>
      <c r="AB28" s="9">
        <v>1</v>
      </c>
      <c r="AC28" s="9">
        <v>83155612</v>
      </c>
      <c r="AD28" s="8">
        <v>45168</v>
      </c>
      <c r="AE28" t="s">
        <v>494</v>
      </c>
      <c r="AG28" s="9">
        <v>5</v>
      </c>
      <c r="AH28" s="9">
        <v>1</v>
      </c>
      <c r="AI28" s="9">
        <v>7</v>
      </c>
      <c r="AJ28" s="9">
        <v>4</v>
      </c>
      <c r="AK28" s="9">
        <v>2</v>
      </c>
      <c r="AL28" t="s">
        <v>490</v>
      </c>
      <c r="AN28" t="s">
        <v>495</v>
      </c>
      <c r="AO28" s="9" t="s">
        <v>57</v>
      </c>
      <c r="AP28" s="9">
        <v>1</v>
      </c>
    </row>
    <row r="29" spans="1:42" x14ac:dyDescent="0.2">
      <c r="A29" s="13" t="s">
        <v>560</v>
      </c>
      <c r="B29" t="s">
        <v>317</v>
      </c>
      <c r="C29" t="s">
        <v>45</v>
      </c>
      <c r="D29" t="s">
        <v>58</v>
      </c>
      <c r="E29" t="s">
        <v>59</v>
      </c>
      <c r="F29" s="8">
        <v>45924</v>
      </c>
      <c r="G29" s="9" t="s">
        <v>55</v>
      </c>
      <c r="H29" t="str">
        <f>HYPERLINK("https://app.acclaimip.com/pdf/l2uN0M3AFPKKa4xMf8AU_MSOnPhzGLdfkUZPMZY/US12437258B2")</f>
        <v>https://app.acclaimip.com/pdf/l2uN0M3AFPKKa4xMf8AU_MSOnPhzGLdfkUZPMZY/US12437258B2</v>
      </c>
      <c r="I29" t="s">
        <v>318</v>
      </c>
      <c r="J29" t="s">
        <v>319</v>
      </c>
      <c r="K29" t="s">
        <v>48</v>
      </c>
      <c r="L29" t="s">
        <v>48</v>
      </c>
      <c r="M29" s="8">
        <v>44055</v>
      </c>
      <c r="N29" s="8">
        <v>44489</v>
      </c>
      <c r="O29" s="8">
        <v>45937</v>
      </c>
      <c r="P29" s="8">
        <v>47398</v>
      </c>
      <c r="Q29" s="8">
        <v>52587</v>
      </c>
      <c r="R29" t="s">
        <v>320</v>
      </c>
      <c r="S29" t="s">
        <v>321</v>
      </c>
      <c r="T29" s="9">
        <v>2</v>
      </c>
      <c r="U29" s="9">
        <v>14</v>
      </c>
      <c r="V29" s="9" t="s">
        <v>51</v>
      </c>
      <c r="W29">
        <v>80224483</v>
      </c>
      <c r="X29" t="s">
        <v>322</v>
      </c>
      <c r="Y29" t="s">
        <v>321</v>
      </c>
      <c r="AA29" t="s">
        <v>321</v>
      </c>
      <c r="AB29" s="9">
        <v>31</v>
      </c>
      <c r="AC29" s="9">
        <v>80224460</v>
      </c>
      <c r="AD29" s="8">
        <v>44103</v>
      </c>
      <c r="AE29" t="s">
        <v>323</v>
      </c>
      <c r="AG29" s="9">
        <v>37</v>
      </c>
      <c r="AH29" s="9">
        <v>1</v>
      </c>
      <c r="AI29" s="9">
        <v>13</v>
      </c>
      <c r="AJ29" s="9">
        <v>3</v>
      </c>
      <c r="AK29" s="9">
        <v>1</v>
      </c>
      <c r="AL29" t="s">
        <v>324</v>
      </c>
      <c r="AN29" t="s">
        <v>325</v>
      </c>
      <c r="AO29" s="9" t="s">
        <v>57</v>
      </c>
      <c r="AP29" s="9">
        <v>64</v>
      </c>
    </row>
    <row r="30" spans="1:42" x14ac:dyDescent="0.2">
      <c r="A30" s="13" t="s">
        <v>560</v>
      </c>
      <c r="B30" t="s">
        <v>205</v>
      </c>
      <c r="C30" t="s">
        <v>45</v>
      </c>
      <c r="D30" t="s">
        <v>58</v>
      </c>
      <c r="E30" t="s">
        <v>59</v>
      </c>
      <c r="F30" s="8">
        <v>45805</v>
      </c>
      <c r="G30" s="9" t="s">
        <v>55</v>
      </c>
      <c r="H30" t="str">
        <f>HYPERLINK("https://app.acclaimip.com/pdf/3HRj005m5rnKdGJP_Gbmt4RHyUWXYEjr8P4clN0/US12327338B2")</f>
        <v>https://app.acclaimip.com/pdf/3HRj005m5rnKdGJP_Gbmt4RHyUWXYEjr8P4clN0/US12327338B2</v>
      </c>
      <c r="I30" t="s">
        <v>206</v>
      </c>
      <c r="J30" t="s">
        <v>207</v>
      </c>
      <c r="K30" t="s">
        <v>208</v>
      </c>
      <c r="L30" t="s">
        <v>48</v>
      </c>
      <c r="M30" s="8">
        <v>44854</v>
      </c>
      <c r="N30" s="8">
        <v>45219</v>
      </c>
      <c r="O30" s="8">
        <v>45818</v>
      </c>
      <c r="P30" s="8">
        <v>47279</v>
      </c>
      <c r="Q30" s="8">
        <v>52570</v>
      </c>
      <c r="R30" t="s">
        <v>209</v>
      </c>
      <c r="S30" t="s">
        <v>210</v>
      </c>
      <c r="T30" s="9">
        <v>3</v>
      </c>
      <c r="U30" s="9">
        <v>20</v>
      </c>
      <c r="V30" s="9" t="s">
        <v>51</v>
      </c>
      <c r="W30">
        <v>91282145</v>
      </c>
      <c r="X30" t="s">
        <v>211</v>
      </c>
      <c r="Y30" t="s">
        <v>210</v>
      </c>
      <c r="AA30" t="s">
        <v>210</v>
      </c>
      <c r="AB30" s="9">
        <v>1</v>
      </c>
      <c r="AC30" s="9">
        <v>91282145</v>
      </c>
      <c r="AD30" s="8">
        <v>45412</v>
      </c>
      <c r="AE30" t="s">
        <v>212</v>
      </c>
      <c r="AG30" s="9">
        <v>4</v>
      </c>
      <c r="AH30" s="9">
        <v>1</v>
      </c>
      <c r="AI30" s="9">
        <v>19</v>
      </c>
      <c r="AJ30" s="9">
        <v>0</v>
      </c>
      <c r="AK30" s="9">
        <v>0</v>
      </c>
      <c r="AL30" t="s">
        <v>213</v>
      </c>
      <c r="AN30" t="s">
        <v>214</v>
      </c>
      <c r="AO30" s="9" t="s">
        <v>57</v>
      </c>
      <c r="AP30" s="9">
        <v>40</v>
      </c>
    </row>
    <row r="31" spans="1:42" x14ac:dyDescent="0.2">
      <c r="A31" s="13" t="s">
        <v>560</v>
      </c>
      <c r="B31" t="s">
        <v>481</v>
      </c>
      <c r="C31" t="s">
        <v>45</v>
      </c>
      <c r="D31" t="s">
        <v>58</v>
      </c>
      <c r="E31" t="s">
        <v>59</v>
      </c>
      <c r="F31" s="8">
        <v>45798</v>
      </c>
      <c r="G31" s="9" t="s">
        <v>55</v>
      </c>
      <c r="H31" t="str">
        <f>HYPERLINK("https://app.acclaimip.com/pdf/BjBKJuLzvEb_MEu6UPO8SLFFYXMvR1DMrunHkgc/US12322012B2")</f>
        <v>https://app.acclaimip.com/pdf/BjBKJuLzvEb_MEu6UPO8SLFFYXMvR1DMrunHkgc/US12322012B2</v>
      </c>
      <c r="I31" t="s">
        <v>482</v>
      </c>
      <c r="J31" t="s">
        <v>483</v>
      </c>
      <c r="K31" t="s">
        <v>48</v>
      </c>
      <c r="L31" t="s">
        <v>48</v>
      </c>
      <c r="M31" s="8">
        <v>44288</v>
      </c>
      <c r="N31" s="8">
        <v>44652</v>
      </c>
      <c r="O31" s="8">
        <v>45811</v>
      </c>
      <c r="P31" s="8">
        <v>47272</v>
      </c>
      <c r="Q31" s="8">
        <v>51957</v>
      </c>
      <c r="R31" t="s">
        <v>133</v>
      </c>
      <c r="S31" t="s">
        <v>484</v>
      </c>
      <c r="T31" s="9">
        <v>11</v>
      </c>
      <c r="U31" s="9">
        <v>8</v>
      </c>
      <c r="V31" s="9" t="s">
        <v>51</v>
      </c>
      <c r="W31">
        <v>83456692</v>
      </c>
      <c r="X31" t="s">
        <v>485</v>
      </c>
      <c r="Y31" t="s">
        <v>486</v>
      </c>
      <c r="AA31" t="s">
        <v>486</v>
      </c>
      <c r="AB31" s="9">
        <v>0</v>
      </c>
      <c r="AC31" s="9">
        <v>83456692</v>
      </c>
      <c r="AD31" s="8">
        <v>45168</v>
      </c>
      <c r="AE31" t="s">
        <v>154</v>
      </c>
      <c r="AG31" s="9">
        <v>2</v>
      </c>
      <c r="AH31" s="9">
        <v>2</v>
      </c>
      <c r="AI31" s="9">
        <v>6</v>
      </c>
      <c r="AJ31" s="9">
        <v>3</v>
      </c>
      <c r="AK31" s="9">
        <v>1</v>
      </c>
      <c r="AL31" t="s">
        <v>138</v>
      </c>
      <c r="AO31" s="9" t="s">
        <v>57</v>
      </c>
      <c r="AP31" s="9">
        <v>48</v>
      </c>
    </row>
    <row r="32" spans="1:42" x14ac:dyDescent="0.2">
      <c r="A32" s="13" t="s">
        <v>560</v>
      </c>
      <c r="B32" t="s">
        <v>198</v>
      </c>
      <c r="C32" t="s">
        <v>45</v>
      </c>
      <c r="D32" t="s">
        <v>58</v>
      </c>
      <c r="E32" t="s">
        <v>59</v>
      </c>
      <c r="F32" s="8">
        <v>45728</v>
      </c>
      <c r="G32" s="9" t="s">
        <v>55</v>
      </c>
      <c r="H32" t="str">
        <f>HYPERLINK("https://app.acclaimip.com/pdf/z_pTq3U2PX0a-lI3xzY9c1TyCvWhaCOaa6uHvM4/US12266156B2")</f>
        <v>https://app.acclaimip.com/pdf/z_pTq3U2PX0a-lI3xzY9c1TyCvWhaCOaa6uHvM4/US12266156B2</v>
      </c>
      <c r="I32" t="s">
        <v>199</v>
      </c>
      <c r="J32" t="s">
        <v>200</v>
      </c>
      <c r="K32" t="s">
        <v>48</v>
      </c>
      <c r="L32" t="s">
        <v>48</v>
      </c>
      <c r="M32" s="8">
        <v>44242</v>
      </c>
      <c r="N32" s="8">
        <v>44606</v>
      </c>
      <c r="O32" s="8">
        <v>45748</v>
      </c>
      <c r="P32" s="8">
        <v>47209</v>
      </c>
      <c r="Q32" s="8">
        <v>52368</v>
      </c>
      <c r="R32" t="s">
        <v>201</v>
      </c>
      <c r="S32" t="s">
        <v>202</v>
      </c>
      <c r="T32" s="9">
        <v>2</v>
      </c>
      <c r="U32" s="9">
        <v>9</v>
      </c>
      <c r="V32" s="9" t="s">
        <v>51</v>
      </c>
      <c r="W32">
        <v>82801514</v>
      </c>
      <c r="X32" t="s">
        <v>203</v>
      </c>
      <c r="Y32" t="s">
        <v>202</v>
      </c>
      <c r="AA32" t="s">
        <v>202</v>
      </c>
      <c r="AB32" s="9">
        <v>0</v>
      </c>
      <c r="AC32" s="9">
        <v>82801514</v>
      </c>
      <c r="AD32" s="8">
        <v>44624</v>
      </c>
      <c r="AE32" t="s">
        <v>204</v>
      </c>
      <c r="AG32" s="9">
        <v>5</v>
      </c>
      <c r="AH32" s="9">
        <v>1</v>
      </c>
      <c r="AI32" s="9">
        <v>8</v>
      </c>
      <c r="AJ32" s="9">
        <v>1</v>
      </c>
      <c r="AK32" s="9">
        <v>0</v>
      </c>
      <c r="AL32" t="s">
        <v>201</v>
      </c>
      <c r="AO32" s="9" t="s">
        <v>57</v>
      </c>
      <c r="AP32" s="9">
        <v>0</v>
      </c>
    </row>
    <row r="33" spans="1:42" x14ac:dyDescent="0.2">
      <c r="A33" s="13" t="s">
        <v>560</v>
      </c>
      <c r="B33" t="s">
        <v>332</v>
      </c>
      <c r="C33" t="s">
        <v>45</v>
      </c>
      <c r="D33" t="s">
        <v>58</v>
      </c>
      <c r="E33" t="s">
        <v>59</v>
      </c>
      <c r="F33" s="8">
        <v>45672</v>
      </c>
      <c r="G33" s="9" t="s">
        <v>55</v>
      </c>
      <c r="H33" t="str">
        <f>HYPERLINK("https://app.acclaimip.com/pdf/eyo-ev264GzKKj_mT7rgYoRyXIiODW0kzghs1no/US12217339B2")</f>
        <v>https://app.acclaimip.com/pdf/eyo-ev264GzKKj_mT7rgYoRyXIiODW0kzghs1no/US12217339B2</v>
      </c>
      <c r="I33" t="s">
        <v>333</v>
      </c>
      <c r="J33" t="s">
        <v>334</v>
      </c>
      <c r="K33" t="s">
        <v>48</v>
      </c>
      <c r="L33" t="s">
        <v>48</v>
      </c>
      <c r="M33" s="8">
        <v>44288</v>
      </c>
      <c r="N33" s="8">
        <v>44651</v>
      </c>
      <c r="O33" s="8">
        <v>45692</v>
      </c>
      <c r="P33" s="8">
        <v>47153</v>
      </c>
      <c r="Q33" s="8">
        <v>51956</v>
      </c>
      <c r="R33" t="s">
        <v>133</v>
      </c>
      <c r="S33" t="s">
        <v>335</v>
      </c>
      <c r="T33" s="9">
        <v>11</v>
      </c>
      <c r="U33" s="9">
        <v>20</v>
      </c>
      <c r="V33" s="9" t="s">
        <v>51</v>
      </c>
      <c r="W33">
        <v>83456692</v>
      </c>
      <c r="X33" t="s">
        <v>336</v>
      </c>
      <c r="Y33" t="s">
        <v>337</v>
      </c>
      <c r="AA33" t="s">
        <v>337</v>
      </c>
      <c r="AB33" s="9">
        <v>1</v>
      </c>
      <c r="AC33" s="9">
        <v>83456692</v>
      </c>
      <c r="AD33" s="8">
        <v>45168</v>
      </c>
      <c r="AE33" t="s">
        <v>154</v>
      </c>
      <c r="AG33" s="9">
        <v>18</v>
      </c>
      <c r="AH33" s="9">
        <v>2</v>
      </c>
      <c r="AI33" s="9">
        <v>18</v>
      </c>
      <c r="AJ33" s="9">
        <v>0</v>
      </c>
      <c r="AK33" s="9">
        <v>0</v>
      </c>
      <c r="AL33" t="s">
        <v>138</v>
      </c>
      <c r="AN33" t="s">
        <v>338</v>
      </c>
      <c r="AO33" s="9" t="s">
        <v>57</v>
      </c>
      <c r="AP33" s="9">
        <v>76</v>
      </c>
    </row>
    <row r="34" spans="1:42" x14ac:dyDescent="0.2">
      <c r="A34" s="13" t="s">
        <v>560</v>
      </c>
      <c r="B34" t="s">
        <v>89</v>
      </c>
      <c r="C34" t="s">
        <v>45</v>
      </c>
      <c r="D34" t="s">
        <v>58</v>
      </c>
      <c r="E34" t="s">
        <v>59</v>
      </c>
      <c r="F34" s="8">
        <v>45644</v>
      </c>
      <c r="G34" s="9" t="s">
        <v>55</v>
      </c>
      <c r="H34" t="str">
        <f>HYPERLINK("https://app.acclaimip.com/pdf/d1_FVIfR7O3qX8TINdHs46T9abLqQ6a0jBj0enY/US12190565B2")</f>
        <v>https://app.acclaimip.com/pdf/d1_FVIfR7O3qX8TINdHs46T9abLqQ6a0jBj0enY/US12190565B2</v>
      </c>
      <c r="I34" t="s">
        <v>90</v>
      </c>
      <c r="J34" t="s">
        <v>91</v>
      </c>
      <c r="K34" t="s">
        <v>48</v>
      </c>
      <c r="L34" t="s">
        <v>48</v>
      </c>
      <c r="M34" s="8">
        <v>44238</v>
      </c>
      <c r="N34" s="8">
        <v>44595</v>
      </c>
      <c r="O34" s="8">
        <v>45664</v>
      </c>
      <c r="P34" s="8">
        <v>47125</v>
      </c>
      <c r="Q34" s="8">
        <v>51900</v>
      </c>
      <c r="R34" t="s">
        <v>92</v>
      </c>
      <c r="S34" t="s">
        <v>93</v>
      </c>
      <c r="T34" s="9">
        <v>3</v>
      </c>
      <c r="U34" s="9">
        <v>14</v>
      </c>
      <c r="V34" s="9" t="s">
        <v>51</v>
      </c>
      <c r="W34">
        <v>82838042</v>
      </c>
      <c r="X34" t="s">
        <v>94</v>
      </c>
      <c r="Y34" t="s">
        <v>95</v>
      </c>
      <c r="AA34" t="s">
        <v>95</v>
      </c>
      <c r="AB34" s="9">
        <v>2</v>
      </c>
      <c r="AC34" s="9">
        <v>82838042</v>
      </c>
      <c r="AD34" s="8">
        <v>45168</v>
      </c>
      <c r="AE34" t="s">
        <v>96</v>
      </c>
      <c r="AG34" s="9">
        <v>6</v>
      </c>
      <c r="AH34" s="9">
        <v>2</v>
      </c>
      <c r="AI34" s="9">
        <v>12</v>
      </c>
      <c r="AJ34" s="9">
        <v>1</v>
      </c>
      <c r="AK34" s="9">
        <v>0</v>
      </c>
      <c r="AL34" t="s">
        <v>97</v>
      </c>
      <c r="AN34" t="s">
        <v>98</v>
      </c>
      <c r="AO34" s="9" t="s">
        <v>57</v>
      </c>
      <c r="AP34" s="9">
        <v>27</v>
      </c>
    </row>
    <row r="35" spans="1:42" x14ac:dyDescent="0.2">
      <c r="A35" s="13" t="s">
        <v>560</v>
      </c>
      <c r="B35" t="s">
        <v>106</v>
      </c>
      <c r="C35" t="s">
        <v>45</v>
      </c>
      <c r="D35" t="s">
        <v>58</v>
      </c>
      <c r="E35" t="s">
        <v>59</v>
      </c>
      <c r="F35" s="8">
        <v>45644</v>
      </c>
      <c r="G35" s="9" t="s">
        <v>55</v>
      </c>
      <c r="H35" t="str">
        <f>HYPERLINK("https://app.acclaimip.com/pdf/JNH80QGF8xeB0f1Ns4XzGc9b-N-QpzJWt4h7YSU/US12189714B2")</f>
        <v>https://app.acclaimip.com/pdf/JNH80QGF8xeB0f1Ns4XzGc9b-N-QpzJWt4h7YSU/US12189714B2</v>
      </c>
      <c r="I35" t="s">
        <v>107</v>
      </c>
      <c r="J35" t="s">
        <v>108</v>
      </c>
      <c r="K35" t="s">
        <v>48</v>
      </c>
      <c r="L35" t="s">
        <v>48</v>
      </c>
      <c r="M35" s="8">
        <v>44064</v>
      </c>
      <c r="N35" s="8">
        <v>44594</v>
      </c>
      <c r="O35" s="8">
        <v>45664</v>
      </c>
      <c r="P35" s="8">
        <v>47125</v>
      </c>
      <c r="Q35" s="8">
        <v>51736</v>
      </c>
      <c r="R35" t="s">
        <v>109</v>
      </c>
      <c r="S35" t="s">
        <v>110</v>
      </c>
      <c r="T35" s="9">
        <v>2</v>
      </c>
      <c r="U35" s="9">
        <v>22</v>
      </c>
      <c r="V35" s="9" t="s">
        <v>51</v>
      </c>
      <c r="W35">
        <v>89769180</v>
      </c>
      <c r="X35" t="s">
        <v>111</v>
      </c>
      <c r="Y35" t="s">
        <v>110</v>
      </c>
      <c r="AA35" t="s">
        <v>110</v>
      </c>
      <c r="AB35" s="9">
        <v>1</v>
      </c>
      <c r="AC35" s="9">
        <v>80269648</v>
      </c>
      <c r="AD35" s="8">
        <v>45572</v>
      </c>
      <c r="AE35" t="s">
        <v>54</v>
      </c>
      <c r="AG35" s="9">
        <v>9</v>
      </c>
      <c r="AH35" s="9">
        <v>2</v>
      </c>
      <c r="AI35" s="9">
        <v>20</v>
      </c>
      <c r="AJ35" s="9">
        <v>1</v>
      </c>
      <c r="AK35" s="9">
        <v>0</v>
      </c>
      <c r="AL35" t="s">
        <v>109</v>
      </c>
      <c r="AN35" t="s">
        <v>112</v>
      </c>
      <c r="AO35" s="9" t="s">
        <v>57</v>
      </c>
      <c r="AP35" s="9">
        <v>28</v>
      </c>
    </row>
    <row r="36" spans="1:42" x14ac:dyDescent="0.2">
      <c r="A36" s="13" t="s">
        <v>560</v>
      </c>
      <c r="B36" t="s">
        <v>263</v>
      </c>
      <c r="C36" t="s">
        <v>45</v>
      </c>
      <c r="D36" t="s">
        <v>58</v>
      </c>
      <c r="E36" t="s">
        <v>59</v>
      </c>
      <c r="F36" s="8">
        <v>45637</v>
      </c>
      <c r="G36" s="9" t="s">
        <v>55</v>
      </c>
      <c r="H36" t="str">
        <f>HYPERLINK("https://app.acclaimip.com/pdf/mVgk-Ta1VZMFWCVlhLVVnUvr-wIMsNPkWobeW5g/US12182707B2")</f>
        <v>https://app.acclaimip.com/pdf/mVgk-Ta1VZMFWCVlhLVVnUvr-wIMsNPkWobeW5g/US12182707B2</v>
      </c>
      <c r="I36" t="s">
        <v>264</v>
      </c>
      <c r="J36" t="s">
        <v>265</v>
      </c>
      <c r="K36" t="s">
        <v>48</v>
      </c>
      <c r="L36" t="s">
        <v>48</v>
      </c>
      <c r="M36" s="8">
        <v>44245</v>
      </c>
      <c r="N36" s="8">
        <v>44610</v>
      </c>
      <c r="O36" s="8">
        <v>45657</v>
      </c>
      <c r="P36" s="8">
        <v>47118</v>
      </c>
      <c r="Q36" s="8">
        <v>51915</v>
      </c>
      <c r="R36" t="s">
        <v>266</v>
      </c>
      <c r="S36" t="s">
        <v>267</v>
      </c>
      <c r="T36" s="9">
        <v>3</v>
      </c>
      <c r="U36" s="9">
        <v>12</v>
      </c>
      <c r="V36" s="9" t="s">
        <v>51</v>
      </c>
      <c r="W36">
        <v>82931007</v>
      </c>
      <c r="X36" t="s">
        <v>268</v>
      </c>
      <c r="Y36" t="s">
        <v>269</v>
      </c>
      <c r="AA36" t="s">
        <v>269</v>
      </c>
      <c r="AB36" s="9">
        <v>0</v>
      </c>
      <c r="AC36" s="9">
        <v>82931007</v>
      </c>
      <c r="AD36" s="8">
        <v>45467</v>
      </c>
      <c r="AE36" t="s">
        <v>270</v>
      </c>
      <c r="AG36" s="9">
        <v>2</v>
      </c>
      <c r="AH36" s="9">
        <v>1</v>
      </c>
      <c r="AI36" s="9">
        <v>11</v>
      </c>
      <c r="AJ36" s="9">
        <v>0</v>
      </c>
      <c r="AK36" s="9">
        <v>0</v>
      </c>
      <c r="AL36" t="s">
        <v>266</v>
      </c>
      <c r="AO36" s="9" t="s">
        <v>57</v>
      </c>
      <c r="AP36" s="9">
        <v>20</v>
      </c>
    </row>
    <row r="37" spans="1:42" x14ac:dyDescent="0.2">
      <c r="A37" s="13" t="s">
        <v>560</v>
      </c>
      <c r="B37" t="s">
        <v>188</v>
      </c>
      <c r="C37" t="s">
        <v>45</v>
      </c>
      <c r="D37" t="s">
        <v>58</v>
      </c>
      <c r="E37" t="s">
        <v>59</v>
      </c>
      <c r="F37" s="8">
        <v>45616</v>
      </c>
      <c r="G37" s="9" t="s">
        <v>55</v>
      </c>
      <c r="H37" t="str">
        <f>HYPERLINK("https://app.acclaimip.com/pdf/5bt6zqd2M6D_u3tSFXYzrrEGTy7VLN0CiXhfj-Q/US12165068B2")</f>
        <v>https://app.acclaimip.com/pdf/5bt6zqd2M6D_u3tSFXYzrrEGTy7VLN0CiXhfj-Q/US12165068B2</v>
      </c>
      <c r="I37" t="s">
        <v>189</v>
      </c>
      <c r="J37" t="s">
        <v>190</v>
      </c>
      <c r="K37" t="s">
        <v>48</v>
      </c>
      <c r="L37" t="s">
        <v>48</v>
      </c>
      <c r="M37" s="8">
        <v>43159</v>
      </c>
      <c r="N37" s="8">
        <v>43524</v>
      </c>
      <c r="O37" s="8">
        <v>45636</v>
      </c>
      <c r="P37" s="8">
        <v>47097</v>
      </c>
      <c r="Q37" s="8">
        <v>51877</v>
      </c>
      <c r="R37" t="s">
        <v>191</v>
      </c>
      <c r="S37" t="s">
        <v>192</v>
      </c>
      <c r="T37" s="9">
        <v>7</v>
      </c>
      <c r="U37" s="9">
        <v>14</v>
      </c>
      <c r="V37" s="9" t="s">
        <v>51</v>
      </c>
      <c r="W37">
        <v>67805939</v>
      </c>
      <c r="X37" t="s">
        <v>193</v>
      </c>
      <c r="Y37" t="s">
        <v>194</v>
      </c>
      <c r="AA37" t="s">
        <v>194</v>
      </c>
      <c r="AB37" s="9">
        <v>5</v>
      </c>
      <c r="AC37" s="9">
        <v>67805939</v>
      </c>
      <c r="AD37" s="8">
        <v>44232</v>
      </c>
      <c r="AE37" t="s">
        <v>195</v>
      </c>
      <c r="AG37" s="9">
        <v>5</v>
      </c>
      <c r="AH37" s="9">
        <v>1</v>
      </c>
      <c r="AI37" s="9">
        <v>13</v>
      </c>
      <c r="AJ37" s="9">
        <v>2</v>
      </c>
      <c r="AK37" s="9">
        <v>1</v>
      </c>
      <c r="AL37" t="s">
        <v>196</v>
      </c>
      <c r="AN37" t="s">
        <v>197</v>
      </c>
      <c r="AO37" s="9" t="s">
        <v>57</v>
      </c>
      <c r="AP37" s="9">
        <v>69</v>
      </c>
    </row>
    <row r="38" spans="1:42" x14ac:dyDescent="0.2">
      <c r="A38" s="13" t="s">
        <v>560</v>
      </c>
      <c r="B38" t="s">
        <v>238</v>
      </c>
      <c r="C38" t="s">
        <v>45</v>
      </c>
      <c r="D38" t="s">
        <v>58</v>
      </c>
      <c r="E38" t="s">
        <v>59</v>
      </c>
      <c r="F38" s="8">
        <v>45581</v>
      </c>
      <c r="G38" s="9" t="s">
        <v>55</v>
      </c>
      <c r="H38" t="str">
        <f>HYPERLINK("https://app.acclaimip.com/pdf/8cFVKIzfWlVlwVS0Pt9aWyt0S9ryftZbMdi6JfA/US12136155B2")</f>
        <v>https://app.acclaimip.com/pdf/8cFVKIzfWlVlwVS0Pt9aWyt0S9ryftZbMdi6JfA/US12136155B2</v>
      </c>
      <c r="I38" t="s">
        <v>239</v>
      </c>
      <c r="J38" t="s">
        <v>240</v>
      </c>
      <c r="K38" t="s">
        <v>48</v>
      </c>
      <c r="L38" t="s">
        <v>48</v>
      </c>
      <c r="M38" s="8">
        <v>44242</v>
      </c>
      <c r="N38" s="8">
        <v>44601</v>
      </c>
      <c r="O38" s="8">
        <v>45601</v>
      </c>
      <c r="P38" s="8">
        <v>47062</v>
      </c>
      <c r="Q38" s="8">
        <v>51906</v>
      </c>
      <c r="R38" t="s">
        <v>241</v>
      </c>
      <c r="S38" t="s">
        <v>242</v>
      </c>
      <c r="T38" s="9">
        <v>3</v>
      </c>
      <c r="U38" s="9">
        <v>14</v>
      </c>
      <c r="V38" s="9" t="s">
        <v>51</v>
      </c>
      <c r="W38">
        <v>82837853</v>
      </c>
      <c r="X38" t="s">
        <v>243</v>
      </c>
      <c r="Y38" t="s">
        <v>244</v>
      </c>
      <c r="AA38" t="s">
        <v>244</v>
      </c>
      <c r="AB38" s="9">
        <v>2</v>
      </c>
      <c r="AC38" s="9">
        <v>82837853</v>
      </c>
      <c r="AD38" s="8">
        <v>45168</v>
      </c>
      <c r="AE38" t="s">
        <v>245</v>
      </c>
      <c r="AG38" s="9">
        <v>11</v>
      </c>
      <c r="AH38" s="9">
        <v>1</v>
      </c>
      <c r="AI38" s="9">
        <v>13</v>
      </c>
      <c r="AJ38" s="9">
        <v>1</v>
      </c>
      <c r="AK38" s="9">
        <v>0</v>
      </c>
      <c r="AL38" t="s">
        <v>241</v>
      </c>
      <c r="AN38" t="s">
        <v>246</v>
      </c>
      <c r="AO38" s="9" t="s">
        <v>57</v>
      </c>
      <c r="AP38" s="9">
        <v>26</v>
      </c>
    </row>
    <row r="39" spans="1:42" x14ac:dyDescent="0.2">
      <c r="A39" s="13" t="s">
        <v>560</v>
      </c>
      <c r="B39" t="s">
        <v>425</v>
      </c>
      <c r="C39" t="s">
        <v>45</v>
      </c>
      <c r="D39" t="s">
        <v>58</v>
      </c>
      <c r="E39" t="s">
        <v>59</v>
      </c>
      <c r="F39" s="8">
        <v>45574</v>
      </c>
      <c r="G39" s="9" t="s">
        <v>55</v>
      </c>
      <c r="H39" t="str">
        <f>HYPERLINK("https://app.acclaimip.com/pdf/mSUoGIdoi6lrJSmENWiLpyU6Ai_S_C0FZnsltZg/US12131497B2")</f>
        <v>https://app.acclaimip.com/pdf/mSUoGIdoi6lrJSmENWiLpyU6Ai_S_C0FZnsltZg/US12131497B2</v>
      </c>
      <c r="I39" t="s">
        <v>426</v>
      </c>
      <c r="J39" t="s">
        <v>427</v>
      </c>
      <c r="K39" t="s">
        <v>48</v>
      </c>
      <c r="L39" t="s">
        <v>48</v>
      </c>
      <c r="M39" s="8">
        <v>44236</v>
      </c>
      <c r="N39" s="8">
        <v>44592</v>
      </c>
      <c r="O39" s="8">
        <v>45594</v>
      </c>
      <c r="P39" s="8">
        <v>47055</v>
      </c>
      <c r="Q39" s="8">
        <v>51897</v>
      </c>
      <c r="R39" t="s">
        <v>428</v>
      </c>
      <c r="S39" t="s">
        <v>429</v>
      </c>
      <c r="T39" s="9">
        <v>4</v>
      </c>
      <c r="U39" s="9">
        <v>10</v>
      </c>
      <c r="V39" s="9" t="s">
        <v>51</v>
      </c>
      <c r="W39">
        <v>82837968</v>
      </c>
      <c r="X39" t="s">
        <v>430</v>
      </c>
      <c r="Y39" t="s">
        <v>431</v>
      </c>
      <c r="AA39" t="s">
        <v>431</v>
      </c>
      <c r="AB39" s="9">
        <v>1</v>
      </c>
      <c r="AC39" s="9">
        <v>82837968</v>
      </c>
      <c r="AD39" s="8">
        <v>45559</v>
      </c>
      <c r="AE39" t="s">
        <v>432</v>
      </c>
      <c r="AG39" s="9">
        <v>5</v>
      </c>
      <c r="AH39" s="9">
        <v>2</v>
      </c>
      <c r="AI39" s="9">
        <v>8</v>
      </c>
      <c r="AJ39" s="9">
        <v>1</v>
      </c>
      <c r="AK39" s="9">
        <v>0</v>
      </c>
      <c r="AL39" t="s">
        <v>433</v>
      </c>
      <c r="AN39" t="s">
        <v>434</v>
      </c>
      <c r="AO39" s="9" t="s">
        <v>57</v>
      </c>
      <c r="AP39" s="9">
        <v>24</v>
      </c>
    </row>
    <row r="40" spans="1:42" x14ac:dyDescent="0.2">
      <c r="A40" s="13" t="s">
        <v>560</v>
      </c>
      <c r="B40" t="s">
        <v>400</v>
      </c>
      <c r="C40" t="s">
        <v>45</v>
      </c>
      <c r="D40" t="s">
        <v>58</v>
      </c>
      <c r="E40" t="s">
        <v>59</v>
      </c>
      <c r="F40" s="8">
        <v>45574</v>
      </c>
      <c r="G40" s="9" t="s">
        <v>55</v>
      </c>
      <c r="H40" t="str">
        <f>HYPERLINK("https://app.acclaimip.com/pdf/iPYqFAKy9oWf9iuIsLL2i9HJyQsHlC3NMHpGsYk/US12131260B2")</f>
        <v>https://app.acclaimip.com/pdf/iPYqFAKy9oWf9iuIsLL2i9HJyQsHlC3NMHpGsYk/US12131260B2</v>
      </c>
      <c r="I40" t="s">
        <v>401</v>
      </c>
      <c r="J40" t="s">
        <v>402</v>
      </c>
      <c r="K40" t="s">
        <v>159</v>
      </c>
      <c r="L40" t="s">
        <v>159</v>
      </c>
      <c r="M40" s="8">
        <v>43171</v>
      </c>
      <c r="N40" s="8">
        <v>45026</v>
      </c>
      <c r="O40" s="8">
        <v>45594</v>
      </c>
      <c r="P40" s="8">
        <v>47055</v>
      </c>
      <c r="Q40" s="8">
        <v>50841</v>
      </c>
      <c r="R40" t="s">
        <v>403</v>
      </c>
      <c r="S40" t="s">
        <v>404</v>
      </c>
      <c r="T40" s="9">
        <v>4</v>
      </c>
      <c r="U40" s="9">
        <v>11</v>
      </c>
      <c r="V40" s="9" t="s">
        <v>51</v>
      </c>
      <c r="W40">
        <v>67842673</v>
      </c>
      <c r="X40" t="s">
        <v>405</v>
      </c>
      <c r="Y40" t="s">
        <v>406</v>
      </c>
      <c r="AA40" t="s">
        <v>406</v>
      </c>
      <c r="AB40" s="9">
        <v>0</v>
      </c>
      <c r="AC40" s="9">
        <v>67842673</v>
      </c>
      <c r="AE40" t="s">
        <v>407</v>
      </c>
      <c r="AG40" s="9">
        <v>0</v>
      </c>
      <c r="AH40" s="9">
        <v>1</v>
      </c>
      <c r="AI40" s="9">
        <v>10</v>
      </c>
      <c r="AJ40" s="9">
        <v>1</v>
      </c>
      <c r="AK40" s="9">
        <v>0</v>
      </c>
      <c r="AL40" t="s">
        <v>403</v>
      </c>
      <c r="AO40" s="9" t="s">
        <v>57</v>
      </c>
      <c r="AP40" s="9">
        <v>67</v>
      </c>
    </row>
    <row r="41" spans="1:42" x14ac:dyDescent="0.2">
      <c r="A41" s="13" t="s">
        <v>560</v>
      </c>
      <c r="B41" t="s">
        <v>60</v>
      </c>
      <c r="C41" t="s">
        <v>45</v>
      </c>
      <c r="D41" t="s">
        <v>58</v>
      </c>
      <c r="E41" t="s">
        <v>59</v>
      </c>
      <c r="F41" s="8">
        <v>45504</v>
      </c>
      <c r="G41" s="9" t="s">
        <v>55</v>
      </c>
      <c r="H41" t="str">
        <f>HYPERLINK("https://app.acclaimip.com/pdf/cOcoiJKclpr15ykUIJyWlLvW-EspnQx5TNoBv3E/US12067527B2")</f>
        <v>https://app.acclaimip.com/pdf/cOcoiJKclpr15ykUIJyWlLvW-EspnQx5TNoBv3E/US12067527B2</v>
      </c>
      <c r="I41" t="s">
        <v>61</v>
      </c>
      <c r="J41" t="s">
        <v>62</v>
      </c>
      <c r="K41" t="s">
        <v>48</v>
      </c>
      <c r="L41" t="s">
        <v>48</v>
      </c>
      <c r="M41" s="8">
        <v>44055</v>
      </c>
      <c r="N41" s="8">
        <v>44420</v>
      </c>
      <c r="O41" s="8">
        <v>45524</v>
      </c>
      <c r="P41" s="8">
        <v>46985</v>
      </c>
      <c r="Q41" s="8">
        <v>52058</v>
      </c>
      <c r="R41" t="s">
        <v>63</v>
      </c>
      <c r="S41" t="s">
        <v>64</v>
      </c>
      <c r="T41" s="9">
        <v>3</v>
      </c>
      <c r="U41" s="9">
        <v>15</v>
      </c>
      <c r="V41" s="9" t="s">
        <v>51</v>
      </c>
      <c r="W41">
        <v>80224460</v>
      </c>
      <c r="X41" t="s">
        <v>65</v>
      </c>
      <c r="Y41" t="s">
        <v>66</v>
      </c>
      <c r="AA41" t="s">
        <v>66</v>
      </c>
      <c r="AB41" s="9">
        <v>9</v>
      </c>
      <c r="AC41" s="9">
        <v>80224460</v>
      </c>
      <c r="AD41" s="8">
        <v>44483</v>
      </c>
      <c r="AE41" t="s">
        <v>67</v>
      </c>
      <c r="AG41" s="9">
        <v>24</v>
      </c>
      <c r="AH41" s="9">
        <v>2</v>
      </c>
      <c r="AI41" s="9">
        <v>13</v>
      </c>
      <c r="AJ41" s="9">
        <v>3</v>
      </c>
      <c r="AK41" s="9">
        <v>1</v>
      </c>
      <c r="AL41" t="s">
        <v>63</v>
      </c>
      <c r="AN41" t="s">
        <v>68</v>
      </c>
      <c r="AO41" s="9" t="s">
        <v>57</v>
      </c>
      <c r="AP41" s="9">
        <v>57</v>
      </c>
    </row>
    <row r="42" spans="1:42" x14ac:dyDescent="0.2">
      <c r="A42" s="13" t="s">
        <v>560</v>
      </c>
      <c r="B42" t="s">
        <v>231</v>
      </c>
      <c r="C42" t="s">
        <v>45</v>
      </c>
      <c r="D42" t="s">
        <v>58</v>
      </c>
      <c r="E42" t="s">
        <v>59</v>
      </c>
      <c r="F42" s="8">
        <v>45455</v>
      </c>
      <c r="G42" s="9" t="s">
        <v>55</v>
      </c>
      <c r="H42" t="str">
        <f>HYPERLINK("https://app.acclaimip.com/pdf/gqVMfKyvkl-XpU3gHq-SUdmAhAtEeZ8wpByyFIM/US12026226B2")</f>
        <v>https://app.acclaimip.com/pdf/gqVMfKyvkl-XpU3gHq-SUdmAhAtEeZ8wpByyFIM/US12026226B2</v>
      </c>
      <c r="I42" t="s">
        <v>232</v>
      </c>
      <c r="J42" t="s">
        <v>233</v>
      </c>
      <c r="K42" t="s">
        <v>48</v>
      </c>
      <c r="L42" t="s">
        <v>48</v>
      </c>
      <c r="M42" s="8">
        <v>44064</v>
      </c>
      <c r="N42" s="8">
        <v>44431</v>
      </c>
      <c r="O42" s="8">
        <v>45475</v>
      </c>
      <c r="P42" s="8">
        <v>46936</v>
      </c>
      <c r="Q42" s="8">
        <v>52134</v>
      </c>
      <c r="R42" t="s">
        <v>234</v>
      </c>
      <c r="S42" t="s">
        <v>235</v>
      </c>
      <c r="T42" s="9">
        <v>2</v>
      </c>
      <c r="U42" s="9">
        <v>16</v>
      </c>
      <c r="V42" s="9" t="s">
        <v>51</v>
      </c>
      <c r="W42">
        <v>80269648</v>
      </c>
      <c r="X42" t="s">
        <v>236</v>
      </c>
      <c r="Y42" t="s">
        <v>235</v>
      </c>
      <c r="AA42" t="s">
        <v>235</v>
      </c>
      <c r="AB42" s="9">
        <v>12</v>
      </c>
      <c r="AC42" s="9">
        <v>80269648</v>
      </c>
      <c r="AD42" s="8">
        <v>44624</v>
      </c>
      <c r="AE42" t="s">
        <v>54</v>
      </c>
      <c r="AG42" s="9">
        <v>8</v>
      </c>
      <c r="AH42" s="9">
        <v>2</v>
      </c>
      <c r="AI42" s="9">
        <v>14</v>
      </c>
      <c r="AJ42" s="9">
        <v>1</v>
      </c>
      <c r="AK42" s="9">
        <v>0</v>
      </c>
      <c r="AL42" t="s">
        <v>234</v>
      </c>
      <c r="AN42" t="s">
        <v>237</v>
      </c>
      <c r="AO42" s="9" t="s">
        <v>57</v>
      </c>
      <c r="AP42" s="9">
        <v>58</v>
      </c>
    </row>
    <row r="43" spans="1:42" x14ac:dyDescent="0.2">
      <c r="A43" s="13" t="s">
        <v>560</v>
      </c>
      <c r="B43" t="s">
        <v>121</v>
      </c>
      <c r="C43" t="s">
        <v>45</v>
      </c>
      <c r="D43" t="s">
        <v>58</v>
      </c>
      <c r="E43" t="s">
        <v>59</v>
      </c>
      <c r="F43" s="8">
        <v>45413</v>
      </c>
      <c r="G43" s="9" t="s">
        <v>55</v>
      </c>
      <c r="H43" t="str">
        <f>HYPERLINK("https://app.acclaimip.com/pdf/Y67yoic634EirvM-lTrfj2xSVmNF9To8xciYO2I/US11989933B2")</f>
        <v>https://app.acclaimip.com/pdf/Y67yoic634EirvM-lTrfj2xSVmNF9To8xciYO2I/US11989933B2</v>
      </c>
      <c r="I43" t="s">
        <v>122</v>
      </c>
      <c r="J43" t="s">
        <v>123</v>
      </c>
      <c r="K43" t="s">
        <v>48</v>
      </c>
      <c r="L43" t="s">
        <v>48</v>
      </c>
      <c r="M43" s="8">
        <v>43217</v>
      </c>
      <c r="N43" s="8">
        <v>43584</v>
      </c>
      <c r="O43" s="8">
        <v>45433</v>
      </c>
      <c r="P43" s="8">
        <v>46894</v>
      </c>
      <c r="Q43" s="8">
        <v>51364</v>
      </c>
      <c r="R43" t="s">
        <v>124</v>
      </c>
      <c r="S43" t="s">
        <v>125</v>
      </c>
      <c r="T43" s="9">
        <v>6</v>
      </c>
      <c r="U43" s="9">
        <v>7</v>
      </c>
      <c r="V43" s="9" t="s">
        <v>51</v>
      </c>
      <c r="W43">
        <v>68294717</v>
      </c>
      <c r="X43" t="s">
        <v>126</v>
      </c>
      <c r="Y43" t="s">
        <v>127</v>
      </c>
      <c r="AA43" t="s">
        <v>127</v>
      </c>
      <c r="AB43" s="9">
        <v>1</v>
      </c>
      <c r="AC43" s="9">
        <v>68294717</v>
      </c>
      <c r="AD43" s="8">
        <v>44232</v>
      </c>
      <c r="AE43" t="s">
        <v>128</v>
      </c>
      <c r="AG43" s="9">
        <v>15</v>
      </c>
      <c r="AH43" s="9">
        <v>1</v>
      </c>
      <c r="AI43" s="9">
        <v>6</v>
      </c>
      <c r="AJ43" s="9">
        <v>4</v>
      </c>
      <c r="AK43" s="9">
        <v>2</v>
      </c>
      <c r="AL43" t="s">
        <v>124</v>
      </c>
      <c r="AN43" t="s">
        <v>129</v>
      </c>
      <c r="AO43" s="9" t="s">
        <v>57</v>
      </c>
      <c r="AP43" s="9">
        <v>13</v>
      </c>
    </row>
    <row r="44" spans="1:42" x14ac:dyDescent="0.2">
      <c r="A44" s="13" t="s">
        <v>560</v>
      </c>
      <c r="B44" t="s">
        <v>348</v>
      </c>
      <c r="C44" t="s">
        <v>45</v>
      </c>
      <c r="D44" t="s">
        <v>58</v>
      </c>
      <c r="E44" t="s">
        <v>59</v>
      </c>
      <c r="F44" s="8">
        <v>45371</v>
      </c>
      <c r="G44" s="9" t="s">
        <v>55</v>
      </c>
      <c r="H44" t="str">
        <f>HYPERLINK("https://app.acclaimip.com/pdf/f5yz-SFuvYmjnLJlk269h-1js5tiWkRU9nP5oH4/US11954175B2")</f>
        <v>https://app.acclaimip.com/pdf/f5yz-SFuvYmjnLJlk269h-1js5tiWkRU9nP5oH4/US11954175B2</v>
      </c>
      <c r="I44" t="s">
        <v>349</v>
      </c>
      <c r="J44" t="s">
        <v>350</v>
      </c>
      <c r="K44" t="s">
        <v>48</v>
      </c>
      <c r="L44" t="s">
        <v>48</v>
      </c>
      <c r="M44" s="8">
        <v>44050</v>
      </c>
      <c r="N44" s="8">
        <v>44405</v>
      </c>
      <c r="O44" s="8">
        <v>45391</v>
      </c>
      <c r="P44" s="8">
        <v>46852</v>
      </c>
      <c r="Q44" s="8">
        <v>52153</v>
      </c>
      <c r="R44" t="s">
        <v>351</v>
      </c>
      <c r="S44" t="s">
        <v>352</v>
      </c>
      <c r="T44" s="9">
        <v>2</v>
      </c>
      <c r="U44" s="9">
        <v>21</v>
      </c>
      <c r="V44" s="9" t="s">
        <v>51</v>
      </c>
      <c r="W44">
        <v>80115108</v>
      </c>
      <c r="X44" t="s">
        <v>353</v>
      </c>
      <c r="Y44" t="s">
        <v>352</v>
      </c>
      <c r="AA44" t="s">
        <v>352</v>
      </c>
      <c r="AB44" s="9">
        <v>4</v>
      </c>
      <c r="AC44" s="9">
        <v>80115108</v>
      </c>
      <c r="AD44" s="8">
        <v>44624</v>
      </c>
      <c r="AE44" t="s">
        <v>354</v>
      </c>
      <c r="AG44" s="9">
        <v>6</v>
      </c>
      <c r="AH44" s="9">
        <v>2</v>
      </c>
      <c r="AI44" s="9">
        <v>19</v>
      </c>
      <c r="AJ44" s="9">
        <v>0</v>
      </c>
      <c r="AK44" s="9">
        <v>0</v>
      </c>
      <c r="AL44" t="s">
        <v>351</v>
      </c>
      <c r="AN44" t="s">
        <v>355</v>
      </c>
      <c r="AO44" s="9" t="s">
        <v>57</v>
      </c>
      <c r="AP44" s="9">
        <v>47</v>
      </c>
    </row>
    <row r="45" spans="1:42" x14ac:dyDescent="0.2">
      <c r="A45" s="13" t="s">
        <v>560</v>
      </c>
      <c r="B45" t="s">
        <v>44</v>
      </c>
      <c r="C45" t="s">
        <v>45</v>
      </c>
      <c r="D45" t="s">
        <v>58</v>
      </c>
      <c r="E45" t="s">
        <v>59</v>
      </c>
      <c r="F45" s="8">
        <v>45329</v>
      </c>
      <c r="G45" s="9" t="s">
        <v>55</v>
      </c>
      <c r="H45" t="str">
        <f>HYPERLINK("https://app.acclaimip.com/pdf/AEUp6x9BbWBFRSh3rUFtbgvjboLKcdQsqBCNnAE/US11915463B2")</f>
        <v>https://app.acclaimip.com/pdf/AEUp6x9BbWBFRSh3rUFtbgvjboLKcdQsqBCNnAE/US11915463B2</v>
      </c>
      <c r="I45" t="s">
        <v>46</v>
      </c>
      <c r="J45" t="s">
        <v>47</v>
      </c>
      <c r="K45" t="s">
        <v>48</v>
      </c>
      <c r="L45" t="s">
        <v>48</v>
      </c>
      <c r="M45" s="8">
        <v>44064</v>
      </c>
      <c r="N45" s="8">
        <v>44431</v>
      </c>
      <c r="O45" s="8">
        <v>45349</v>
      </c>
      <c r="P45" s="8">
        <v>46810</v>
      </c>
      <c r="Q45" s="8">
        <v>51968</v>
      </c>
      <c r="R45" t="s">
        <v>49</v>
      </c>
      <c r="S45" t="s">
        <v>50</v>
      </c>
      <c r="T45" s="9">
        <v>3</v>
      </c>
      <c r="U45" s="9">
        <v>14</v>
      </c>
      <c r="V45" s="9" t="s">
        <v>51</v>
      </c>
      <c r="W45">
        <v>80269642</v>
      </c>
      <c r="X45" t="s">
        <v>52</v>
      </c>
      <c r="Y45" t="s">
        <v>53</v>
      </c>
      <c r="AA45" t="s">
        <v>53</v>
      </c>
      <c r="AB45" s="9">
        <v>25</v>
      </c>
      <c r="AC45" s="9">
        <v>80224460</v>
      </c>
      <c r="AD45" s="8">
        <v>44483</v>
      </c>
      <c r="AE45" t="s">
        <v>54</v>
      </c>
      <c r="AG45" s="9">
        <v>2</v>
      </c>
      <c r="AH45" s="9">
        <v>2</v>
      </c>
      <c r="AI45" s="9">
        <v>12</v>
      </c>
      <c r="AJ45" s="9">
        <v>1</v>
      </c>
      <c r="AK45" s="9">
        <v>0</v>
      </c>
      <c r="AL45" t="s">
        <v>49</v>
      </c>
      <c r="AN45" t="s">
        <v>56</v>
      </c>
      <c r="AO45" s="9" t="s">
        <v>57</v>
      </c>
      <c r="AP45" s="9">
        <v>45</v>
      </c>
    </row>
    <row r="46" spans="1:42" x14ac:dyDescent="0.2">
      <c r="A46" s="13" t="s">
        <v>560</v>
      </c>
      <c r="B46" t="s">
        <v>130</v>
      </c>
      <c r="C46" t="s">
        <v>45</v>
      </c>
      <c r="D46" t="s">
        <v>58</v>
      </c>
      <c r="E46" t="s">
        <v>59</v>
      </c>
      <c r="F46" s="8">
        <v>45315</v>
      </c>
      <c r="G46" s="9" t="s">
        <v>55</v>
      </c>
      <c r="H46" t="str">
        <f>HYPERLINK("https://app.acclaimip.com/pdf/8jSLOlNpO0ZeNIqm4Wk7SBA1pWwM1okC_XWqSvM/US11900516B2")</f>
        <v>https://app.acclaimip.com/pdf/8jSLOlNpO0ZeNIqm4Wk7SBA1pWwM1okC_XWqSvM/US11900516B2</v>
      </c>
      <c r="I46" t="s">
        <v>131</v>
      </c>
      <c r="J46" t="s">
        <v>132</v>
      </c>
      <c r="K46" t="s">
        <v>48</v>
      </c>
      <c r="L46" t="s">
        <v>48</v>
      </c>
      <c r="M46" s="8">
        <v>44288</v>
      </c>
      <c r="N46" s="8">
        <v>44648</v>
      </c>
      <c r="O46" s="8">
        <v>45335</v>
      </c>
      <c r="P46" s="8">
        <v>46796</v>
      </c>
      <c r="Q46" s="8">
        <v>51953</v>
      </c>
      <c r="R46" t="s">
        <v>133</v>
      </c>
      <c r="S46" t="s">
        <v>134</v>
      </c>
      <c r="T46" s="9">
        <v>11</v>
      </c>
      <c r="U46" s="9">
        <v>20</v>
      </c>
      <c r="V46" s="9" t="s">
        <v>51</v>
      </c>
      <c r="W46">
        <v>83456692</v>
      </c>
      <c r="X46" t="s">
        <v>135</v>
      </c>
      <c r="Y46" t="s">
        <v>136</v>
      </c>
      <c r="AA46" t="s">
        <v>136</v>
      </c>
      <c r="AB46" s="9">
        <v>1</v>
      </c>
      <c r="AC46" s="9">
        <v>83456692</v>
      </c>
      <c r="AD46" s="8">
        <v>45019</v>
      </c>
      <c r="AE46" t="s">
        <v>137</v>
      </c>
      <c r="AG46" s="9">
        <v>35</v>
      </c>
      <c r="AH46" s="9">
        <v>2</v>
      </c>
      <c r="AI46" s="9">
        <v>18</v>
      </c>
      <c r="AJ46" s="9">
        <v>0</v>
      </c>
      <c r="AK46" s="9">
        <v>0</v>
      </c>
      <c r="AL46" t="s">
        <v>138</v>
      </c>
      <c r="AN46" t="s">
        <v>139</v>
      </c>
      <c r="AO46" s="9" t="s">
        <v>57</v>
      </c>
      <c r="AP46" s="9">
        <v>85</v>
      </c>
    </row>
    <row r="47" spans="1:42" x14ac:dyDescent="0.2">
      <c r="A47" s="13" t="s">
        <v>560</v>
      </c>
      <c r="B47" t="s">
        <v>496</v>
      </c>
      <c r="C47" t="s">
        <v>45</v>
      </c>
      <c r="D47" t="s">
        <v>58</v>
      </c>
      <c r="E47" t="s">
        <v>59</v>
      </c>
      <c r="F47" s="8">
        <v>45287</v>
      </c>
      <c r="G47" s="9" t="s">
        <v>55</v>
      </c>
      <c r="H47" t="str">
        <f>HYPERLINK("https://app.acclaimip.com/pdf/-JtlmdBID-vSm2QFYkgP5ZzNjSkGw4V6kKWzE_k/US11875557B2")</f>
        <v>https://app.acclaimip.com/pdf/-JtlmdBID-vSm2QFYkgP5ZzNjSkGw4V6kKWzE_k/US11875557B2</v>
      </c>
      <c r="I47" t="s">
        <v>497</v>
      </c>
      <c r="J47" t="s">
        <v>498</v>
      </c>
      <c r="K47" t="s">
        <v>48</v>
      </c>
      <c r="L47" t="s">
        <v>48</v>
      </c>
      <c r="M47" s="8">
        <v>43217</v>
      </c>
      <c r="N47" s="8">
        <v>43584</v>
      </c>
      <c r="O47" s="8">
        <v>45307</v>
      </c>
      <c r="P47" s="8">
        <v>46768</v>
      </c>
      <c r="Q47" s="8">
        <v>51579</v>
      </c>
      <c r="R47" t="s">
        <v>124</v>
      </c>
      <c r="S47" t="s">
        <v>499</v>
      </c>
      <c r="T47" s="9">
        <v>6</v>
      </c>
      <c r="U47" s="9">
        <v>9</v>
      </c>
      <c r="V47" s="9" t="s">
        <v>51</v>
      </c>
      <c r="W47">
        <v>68294717</v>
      </c>
      <c r="X47" t="s">
        <v>500</v>
      </c>
      <c r="Y47" t="s">
        <v>501</v>
      </c>
      <c r="AA47" t="s">
        <v>501</v>
      </c>
      <c r="AB47" s="9">
        <v>0</v>
      </c>
      <c r="AC47" s="9">
        <v>68294717</v>
      </c>
      <c r="AD47" s="8">
        <v>44232</v>
      </c>
      <c r="AE47" t="s">
        <v>128</v>
      </c>
      <c r="AG47" s="9">
        <v>13</v>
      </c>
      <c r="AH47" s="9">
        <v>1</v>
      </c>
      <c r="AI47" s="9">
        <v>8</v>
      </c>
      <c r="AJ47" s="9">
        <v>0</v>
      </c>
      <c r="AK47" s="9">
        <v>0</v>
      </c>
      <c r="AL47" t="s">
        <v>124</v>
      </c>
      <c r="AO47" s="9" t="s">
        <v>57</v>
      </c>
      <c r="AP47" s="9">
        <v>11</v>
      </c>
    </row>
    <row r="48" spans="1:42" x14ac:dyDescent="0.2">
      <c r="A48" s="13" t="s">
        <v>560</v>
      </c>
      <c r="B48" t="s">
        <v>339</v>
      </c>
      <c r="C48" t="s">
        <v>45</v>
      </c>
      <c r="D48" t="s">
        <v>58</v>
      </c>
      <c r="E48" t="s">
        <v>59</v>
      </c>
      <c r="F48" s="8">
        <v>45266</v>
      </c>
      <c r="G48" s="9" t="s">
        <v>55</v>
      </c>
      <c r="H48" t="str">
        <f>HYPERLINK("https://app.acclaimip.com/pdf/OlhUZYGvR-G0WFX5M69H7_rTo69TDmfhUInCqDs/US11854245B2")</f>
        <v>https://app.acclaimip.com/pdf/OlhUZYGvR-G0WFX5M69H7_rTo69TDmfhUInCqDs/US11854245B2</v>
      </c>
      <c r="I48" t="s">
        <v>340</v>
      </c>
      <c r="J48" t="s">
        <v>341</v>
      </c>
      <c r="K48" t="s">
        <v>48</v>
      </c>
      <c r="L48" t="s">
        <v>48</v>
      </c>
      <c r="M48" s="8">
        <v>43217</v>
      </c>
      <c r="N48" s="8">
        <v>43584</v>
      </c>
      <c r="O48" s="8">
        <v>45286</v>
      </c>
      <c r="P48" s="8">
        <v>46747</v>
      </c>
      <c r="Q48" s="8">
        <v>51533</v>
      </c>
      <c r="R48" t="s">
        <v>342</v>
      </c>
      <c r="S48" t="s">
        <v>343</v>
      </c>
      <c r="T48" s="9">
        <v>3</v>
      </c>
      <c r="U48" s="9">
        <v>20</v>
      </c>
      <c r="V48" s="9" t="s">
        <v>51</v>
      </c>
      <c r="W48">
        <v>68294673</v>
      </c>
      <c r="X48" t="s">
        <v>344</v>
      </c>
      <c r="Y48" t="s">
        <v>345</v>
      </c>
      <c r="AA48" t="s">
        <v>345</v>
      </c>
      <c r="AB48" s="9">
        <v>2</v>
      </c>
      <c r="AC48" s="9">
        <v>68294673</v>
      </c>
      <c r="AD48" s="8">
        <v>44232</v>
      </c>
      <c r="AE48" t="s">
        <v>128</v>
      </c>
      <c r="AG48" s="9">
        <v>5</v>
      </c>
      <c r="AH48" s="9">
        <v>2</v>
      </c>
      <c r="AI48" s="9">
        <v>18</v>
      </c>
      <c r="AJ48" s="9">
        <v>1</v>
      </c>
      <c r="AK48" s="9">
        <v>0</v>
      </c>
      <c r="AL48" t="s">
        <v>346</v>
      </c>
      <c r="AN48" t="s">
        <v>347</v>
      </c>
      <c r="AO48" s="9" t="s">
        <v>57</v>
      </c>
      <c r="AP48" s="9">
        <v>64</v>
      </c>
    </row>
    <row r="49" spans="1:42" x14ac:dyDescent="0.2">
      <c r="A49" s="13" t="s">
        <v>560</v>
      </c>
      <c r="B49" t="s">
        <v>292</v>
      </c>
      <c r="C49" t="s">
        <v>45</v>
      </c>
      <c r="D49" t="s">
        <v>58</v>
      </c>
      <c r="E49" t="s">
        <v>59</v>
      </c>
      <c r="F49" s="8">
        <v>45154</v>
      </c>
      <c r="G49" s="9" t="s">
        <v>55</v>
      </c>
      <c r="H49" t="str">
        <f>HYPERLINK("https://app.acclaimip.com/pdf/AOrYLUisQGnR6tmx-qxAZ59LoS4aK__BYarFwwE/US11748853B2")</f>
        <v>https://app.acclaimip.com/pdf/AOrYLUisQGnR6tmx-qxAZ59LoS4aK__BYarFwwE/US11748853B2</v>
      </c>
      <c r="I49" t="s">
        <v>293</v>
      </c>
      <c r="J49" t="s">
        <v>294</v>
      </c>
      <c r="K49" t="s">
        <v>48</v>
      </c>
      <c r="L49" t="s">
        <v>48</v>
      </c>
      <c r="M49" s="8">
        <v>43949</v>
      </c>
      <c r="N49" s="8">
        <v>44313</v>
      </c>
      <c r="O49" s="8">
        <v>45174</v>
      </c>
      <c r="P49" s="8">
        <v>46635</v>
      </c>
      <c r="Q49" s="8">
        <v>51837</v>
      </c>
      <c r="R49" t="s">
        <v>295</v>
      </c>
      <c r="S49" t="s">
        <v>296</v>
      </c>
      <c r="T49" s="9">
        <v>2</v>
      </c>
      <c r="U49" s="9">
        <v>18</v>
      </c>
      <c r="V49" s="9" t="s">
        <v>51</v>
      </c>
      <c r="W49">
        <v>78222545</v>
      </c>
      <c r="X49" t="s">
        <v>297</v>
      </c>
      <c r="Y49" t="s">
        <v>296</v>
      </c>
      <c r="AA49" t="s">
        <v>296</v>
      </c>
      <c r="AB49" s="9">
        <v>3</v>
      </c>
      <c r="AC49" s="9">
        <v>78222545</v>
      </c>
      <c r="AD49" s="8">
        <v>44368</v>
      </c>
      <c r="AE49" t="s">
        <v>298</v>
      </c>
      <c r="AG49" s="9">
        <v>3</v>
      </c>
      <c r="AH49" s="9">
        <v>2</v>
      </c>
      <c r="AI49" s="9">
        <v>16</v>
      </c>
      <c r="AJ49" s="9">
        <v>1</v>
      </c>
      <c r="AK49" s="9">
        <v>0</v>
      </c>
      <c r="AL49" t="s">
        <v>299</v>
      </c>
      <c r="AN49" t="s">
        <v>300</v>
      </c>
      <c r="AO49" s="9" t="s">
        <v>57</v>
      </c>
      <c r="AP49" s="9">
        <v>28</v>
      </c>
    </row>
    <row r="50" spans="1:42" x14ac:dyDescent="0.2">
      <c r="A50" s="13" t="s">
        <v>560</v>
      </c>
      <c r="B50" t="s">
        <v>69</v>
      </c>
      <c r="C50" t="s">
        <v>45</v>
      </c>
      <c r="D50" t="s">
        <v>58</v>
      </c>
      <c r="E50" t="s">
        <v>59</v>
      </c>
      <c r="F50" s="8">
        <v>44048</v>
      </c>
      <c r="G50" s="9" t="s">
        <v>55</v>
      </c>
      <c r="H50" t="str">
        <f>HYPERLINK("https://app.acclaimip.com/pdf/CNZLpwiRMiT31ko7upEyKrkPT4s15NXCLYCS-Qk/US10755145B2")</f>
        <v>https://app.acclaimip.com/pdf/CNZLpwiRMiT31ko7upEyKrkPT4s15NXCLYCS-Qk/US10755145B2</v>
      </c>
      <c r="I50" t="s">
        <v>70</v>
      </c>
      <c r="J50" t="s">
        <v>71</v>
      </c>
      <c r="K50" t="s">
        <v>48</v>
      </c>
      <c r="L50" t="s">
        <v>48</v>
      </c>
      <c r="M50" s="8">
        <v>42923</v>
      </c>
      <c r="N50" s="8">
        <v>43287</v>
      </c>
      <c r="O50" s="8">
        <v>44068</v>
      </c>
      <c r="P50" s="8">
        <v>46990</v>
      </c>
      <c r="Q50" s="8">
        <v>50746</v>
      </c>
      <c r="R50" t="s">
        <v>72</v>
      </c>
      <c r="S50" t="s">
        <v>73</v>
      </c>
      <c r="T50" s="9">
        <v>2</v>
      </c>
      <c r="U50" s="9">
        <v>16</v>
      </c>
      <c r="V50" s="9" t="s">
        <v>51</v>
      </c>
      <c r="W50">
        <v>64903308</v>
      </c>
      <c r="X50" t="s">
        <v>74</v>
      </c>
      <c r="Y50" t="s">
        <v>73</v>
      </c>
      <c r="AA50" t="s">
        <v>73</v>
      </c>
      <c r="AB50" s="9">
        <v>21</v>
      </c>
      <c r="AC50" s="9">
        <v>64903308</v>
      </c>
      <c r="AD50" s="8">
        <v>43360</v>
      </c>
      <c r="AE50" t="s">
        <v>75</v>
      </c>
      <c r="AG50" s="9">
        <v>7</v>
      </c>
      <c r="AH50" s="9">
        <v>2</v>
      </c>
      <c r="AI50" s="9">
        <v>14</v>
      </c>
      <c r="AJ50" s="9">
        <v>1</v>
      </c>
      <c r="AK50" s="9">
        <v>0</v>
      </c>
      <c r="AL50" t="s">
        <v>76</v>
      </c>
      <c r="AN50" t="s">
        <v>77</v>
      </c>
      <c r="AO50" s="9" t="s">
        <v>57</v>
      </c>
      <c r="AP50" s="9">
        <v>55</v>
      </c>
    </row>
    <row r="51" spans="1:42" x14ac:dyDescent="0.2">
      <c r="A51" s="13" t="s">
        <v>560</v>
      </c>
      <c r="B51" t="s">
        <v>452</v>
      </c>
      <c r="C51" t="s">
        <v>45</v>
      </c>
      <c r="D51" t="s">
        <v>58</v>
      </c>
      <c r="E51" t="s">
        <v>59</v>
      </c>
      <c r="F51" s="8">
        <v>43719</v>
      </c>
      <c r="G51" s="9" t="s">
        <v>55</v>
      </c>
      <c r="H51" t="str">
        <f>HYPERLINK("https://app.acclaimip.com/pdf/NnBK8SSXB8cLcEttlpcHyUVxusRJuWmTM1m-BDc/US10430922B2")</f>
        <v>https://app.acclaimip.com/pdf/NnBK8SSXB8cLcEttlpcHyUVxusRJuWmTM1m-BDc/US10430922B2</v>
      </c>
      <c r="I51" t="s">
        <v>453</v>
      </c>
      <c r="J51" t="s">
        <v>454</v>
      </c>
      <c r="K51" t="s">
        <v>159</v>
      </c>
      <c r="L51" t="s">
        <v>48</v>
      </c>
      <c r="M51" s="8">
        <v>42621</v>
      </c>
      <c r="N51" s="8">
        <v>42986</v>
      </c>
      <c r="O51" s="8">
        <v>43739</v>
      </c>
      <c r="P51" s="8">
        <v>46661</v>
      </c>
      <c r="Q51" s="8">
        <v>50291</v>
      </c>
      <c r="R51" t="s">
        <v>455</v>
      </c>
      <c r="S51" t="s">
        <v>456</v>
      </c>
      <c r="T51" s="9">
        <v>2</v>
      </c>
      <c r="U51" s="9">
        <v>20</v>
      </c>
      <c r="V51" s="9" t="s">
        <v>51</v>
      </c>
      <c r="W51">
        <v>61281690</v>
      </c>
      <c r="X51" t="s">
        <v>457</v>
      </c>
      <c r="Y51" t="s">
        <v>456</v>
      </c>
      <c r="AA51" t="s">
        <v>456</v>
      </c>
      <c r="AB51" s="9">
        <v>12</v>
      </c>
      <c r="AC51" s="9">
        <v>61281690</v>
      </c>
      <c r="AD51" s="8">
        <v>43055</v>
      </c>
      <c r="AE51" t="s">
        <v>458</v>
      </c>
      <c r="AG51" s="9">
        <v>3</v>
      </c>
      <c r="AH51" s="9">
        <v>2</v>
      </c>
      <c r="AI51" s="9">
        <v>18</v>
      </c>
      <c r="AJ51" s="9">
        <v>1</v>
      </c>
      <c r="AK51" s="9">
        <v>0</v>
      </c>
      <c r="AL51" t="s">
        <v>459</v>
      </c>
      <c r="AN51" t="s">
        <v>460</v>
      </c>
      <c r="AO51" s="9" t="s">
        <v>57</v>
      </c>
      <c r="AP51" s="9">
        <v>52</v>
      </c>
    </row>
    <row r="52" spans="1:42" x14ac:dyDescent="0.2">
      <c r="A52" s="13" t="s">
        <v>560</v>
      </c>
      <c r="B52" t="s">
        <v>167</v>
      </c>
      <c r="C52" t="s">
        <v>45</v>
      </c>
      <c r="D52" t="s">
        <v>58</v>
      </c>
      <c r="E52" t="s">
        <v>59</v>
      </c>
      <c r="F52" s="8">
        <v>43642</v>
      </c>
      <c r="G52" s="9" t="s">
        <v>55</v>
      </c>
      <c r="H52" t="str">
        <f>HYPERLINK("https://app.acclaimip.com/pdf/pzvfwbZmrVEYO95dBGatX1bdG9LzifMwABYw4qY/US10354362B2")</f>
        <v>https://app.acclaimip.com/pdf/pzvfwbZmrVEYO95dBGatX1bdG9LzifMwABYw4qY/US10354362B2</v>
      </c>
      <c r="I52" t="s">
        <v>168</v>
      </c>
      <c r="J52" t="s">
        <v>169</v>
      </c>
      <c r="K52" t="s">
        <v>159</v>
      </c>
      <c r="L52" t="s">
        <v>48</v>
      </c>
      <c r="M52" s="8">
        <v>42621</v>
      </c>
      <c r="N52" s="8">
        <v>42986</v>
      </c>
      <c r="O52" s="8">
        <v>43662</v>
      </c>
      <c r="P52" s="8">
        <v>46584</v>
      </c>
      <c r="Q52" s="8">
        <v>50292</v>
      </c>
      <c r="R52" t="s">
        <v>170</v>
      </c>
      <c r="S52" t="s">
        <v>171</v>
      </c>
      <c r="T52" s="9">
        <v>2</v>
      </c>
      <c r="U52" s="9">
        <v>20</v>
      </c>
      <c r="V52" s="9" t="s">
        <v>51</v>
      </c>
      <c r="W52">
        <v>61757141</v>
      </c>
      <c r="X52" t="s">
        <v>172</v>
      </c>
      <c r="Y52" t="s">
        <v>171</v>
      </c>
      <c r="AA52" t="s">
        <v>171</v>
      </c>
      <c r="AB52" s="9">
        <v>112</v>
      </c>
      <c r="AC52" s="9">
        <v>61757141</v>
      </c>
      <c r="AD52" s="8">
        <v>42986</v>
      </c>
      <c r="AE52" t="s">
        <v>173</v>
      </c>
      <c r="AG52" s="9">
        <v>6</v>
      </c>
      <c r="AH52" s="9">
        <v>2</v>
      </c>
      <c r="AI52" s="9">
        <v>18</v>
      </c>
      <c r="AJ52" s="9">
        <v>1</v>
      </c>
      <c r="AK52" s="9">
        <v>0</v>
      </c>
      <c r="AL52" t="s">
        <v>174</v>
      </c>
      <c r="AN52" t="s">
        <v>175</v>
      </c>
      <c r="AO52" s="9" t="s">
        <v>57</v>
      </c>
      <c r="AP52" s="9">
        <v>63</v>
      </c>
    </row>
    <row r="53" spans="1:42" x14ac:dyDescent="0.2">
      <c r="A53" s="13" t="s">
        <v>560</v>
      </c>
      <c r="B53" t="s">
        <v>283</v>
      </c>
      <c r="C53" t="s">
        <v>45</v>
      </c>
      <c r="D53" t="s">
        <v>58</v>
      </c>
      <c r="E53" t="s">
        <v>59</v>
      </c>
      <c r="F53" s="8">
        <v>43642</v>
      </c>
      <c r="G53" s="9" t="s">
        <v>55</v>
      </c>
      <c r="H53" t="str">
        <f>HYPERLINK("https://app.acclaimip.com/pdf/DQWVlK8kb8CZBZQIHSRvztc0HZjJQjCH0og8jww/US10354159B2")</f>
        <v>https://app.acclaimip.com/pdf/DQWVlK8kb8CZBZQIHSRvztc0HZjJQjCH0og8jww/US10354159B2</v>
      </c>
      <c r="I53" t="s">
        <v>284</v>
      </c>
      <c r="J53" t="s">
        <v>285</v>
      </c>
      <c r="K53" t="s">
        <v>159</v>
      </c>
      <c r="L53" t="s">
        <v>48</v>
      </c>
      <c r="M53" s="8">
        <v>42619</v>
      </c>
      <c r="N53" s="8">
        <v>42984</v>
      </c>
      <c r="O53" s="8">
        <v>43662</v>
      </c>
      <c r="P53" s="8">
        <v>46584</v>
      </c>
      <c r="Q53" s="8">
        <v>50311</v>
      </c>
      <c r="R53" t="s">
        <v>286</v>
      </c>
      <c r="S53" t="s">
        <v>287</v>
      </c>
      <c r="T53" s="9">
        <v>2</v>
      </c>
      <c r="U53" s="9">
        <v>22</v>
      </c>
      <c r="V53" s="9" t="s">
        <v>51</v>
      </c>
      <c r="W53">
        <v>61281198</v>
      </c>
      <c r="X53" t="s">
        <v>288</v>
      </c>
      <c r="Y53" t="s">
        <v>287</v>
      </c>
      <c r="AA53" t="s">
        <v>287</v>
      </c>
      <c r="AB53" s="9">
        <v>149</v>
      </c>
      <c r="AC53" s="9">
        <v>61281198</v>
      </c>
      <c r="AD53" s="8">
        <v>42986</v>
      </c>
      <c r="AE53" t="s">
        <v>289</v>
      </c>
      <c r="AG53" s="9">
        <v>6</v>
      </c>
      <c r="AH53" s="9">
        <v>2</v>
      </c>
      <c r="AI53" s="9">
        <v>20</v>
      </c>
      <c r="AJ53" s="9">
        <v>1</v>
      </c>
      <c r="AK53" s="9">
        <v>0</v>
      </c>
      <c r="AL53" t="s">
        <v>290</v>
      </c>
      <c r="AN53" t="s">
        <v>291</v>
      </c>
      <c r="AO53" s="9" t="s">
        <v>57</v>
      </c>
      <c r="AP53" s="9">
        <v>65</v>
      </c>
    </row>
    <row r="54" spans="1:42" x14ac:dyDescent="0.2">
      <c r="A54" s="13" t="s">
        <v>560</v>
      </c>
      <c r="B54" t="s">
        <v>309</v>
      </c>
      <c r="C54" t="s">
        <v>45</v>
      </c>
      <c r="D54" t="s">
        <v>58</v>
      </c>
      <c r="E54" t="s">
        <v>59</v>
      </c>
      <c r="F54" s="8">
        <v>43390</v>
      </c>
      <c r="G54" s="9" t="s">
        <v>55</v>
      </c>
      <c r="H54" t="str">
        <f>HYPERLINK("https://app.acclaimip.com/pdf/7IfaAsaSrDRVh9uedJKsOhtKWJ2B5RfangGwae0/US10121055B1")</f>
        <v>https://app.acclaimip.com/pdf/7IfaAsaSrDRVh9uedJKsOhtKWJ2B5RfangGwae0/US10121055B1</v>
      </c>
      <c r="I54" t="s">
        <v>310</v>
      </c>
      <c r="J54" t="s">
        <v>311</v>
      </c>
      <c r="K54" t="s">
        <v>159</v>
      </c>
      <c r="L54" t="s">
        <v>48</v>
      </c>
      <c r="M54" s="8">
        <v>42255</v>
      </c>
      <c r="N54" s="8">
        <v>42621</v>
      </c>
      <c r="O54" s="8">
        <v>43410</v>
      </c>
      <c r="P54" s="8">
        <v>46332</v>
      </c>
      <c r="Q54" s="8">
        <v>49945</v>
      </c>
      <c r="R54" t="s">
        <v>312</v>
      </c>
      <c r="T54" s="9">
        <v>1</v>
      </c>
      <c r="U54" s="9">
        <v>19</v>
      </c>
      <c r="V54" s="9" t="s">
        <v>51</v>
      </c>
      <c r="W54">
        <v>63964655</v>
      </c>
      <c r="X54" t="s">
        <v>313</v>
      </c>
      <c r="AB54" s="9">
        <v>24</v>
      </c>
      <c r="AC54" s="9">
        <v>63964655</v>
      </c>
      <c r="AD54" s="8">
        <v>43318</v>
      </c>
      <c r="AE54" t="s">
        <v>314</v>
      </c>
      <c r="AG54" s="9">
        <v>4</v>
      </c>
      <c r="AH54" s="9">
        <v>1</v>
      </c>
      <c r="AI54" s="9">
        <v>18</v>
      </c>
      <c r="AJ54" s="9">
        <v>2</v>
      </c>
      <c r="AK54" s="9">
        <v>1</v>
      </c>
      <c r="AL54" t="s">
        <v>312</v>
      </c>
      <c r="AN54" t="s">
        <v>315</v>
      </c>
      <c r="AO54" s="9" t="s">
        <v>316</v>
      </c>
      <c r="AP54" s="9">
        <v>33</v>
      </c>
    </row>
    <row r="55" spans="1:42" x14ac:dyDescent="0.2">
      <c r="A55" s="13" t="s">
        <v>560</v>
      </c>
      <c r="B55" t="s">
        <v>156</v>
      </c>
      <c r="C55" t="s">
        <v>45</v>
      </c>
      <c r="D55" t="s">
        <v>58</v>
      </c>
      <c r="E55" t="s">
        <v>59</v>
      </c>
      <c r="F55" s="8">
        <v>43383</v>
      </c>
      <c r="G55" s="9" t="s">
        <v>55</v>
      </c>
      <c r="H55" t="str">
        <f>HYPERLINK("https://app.acclaimip.com/pdf/Vf7afBk9g2ls_tvgqz2DZyLZL9wwi99BAn9w31Q/US10115004B2")</f>
        <v>https://app.acclaimip.com/pdf/Vf7afBk9g2ls_tvgqz2DZyLZL9wwi99BAn9w31Q/US10115004B2</v>
      </c>
      <c r="I55" t="s">
        <v>157</v>
      </c>
      <c r="J55" t="s">
        <v>158</v>
      </c>
      <c r="K55" t="s">
        <v>159</v>
      </c>
      <c r="L55" t="s">
        <v>48</v>
      </c>
      <c r="M55" s="8">
        <v>41807</v>
      </c>
      <c r="N55" s="8">
        <v>42172</v>
      </c>
      <c r="O55" s="8">
        <v>43403</v>
      </c>
      <c r="P55" s="8">
        <v>46325</v>
      </c>
      <c r="Q55" s="8">
        <v>49525</v>
      </c>
      <c r="R55" t="s">
        <v>160</v>
      </c>
      <c r="S55" t="s">
        <v>161</v>
      </c>
      <c r="T55" s="9">
        <v>3</v>
      </c>
      <c r="U55" s="9">
        <v>20</v>
      </c>
      <c r="V55" s="9" t="s">
        <v>51</v>
      </c>
      <c r="W55">
        <v>54936081</v>
      </c>
      <c r="X55" t="s">
        <v>162</v>
      </c>
      <c r="Y55" t="s">
        <v>163</v>
      </c>
      <c r="AA55" t="s">
        <v>163</v>
      </c>
      <c r="AB55" s="9">
        <v>15</v>
      </c>
      <c r="AC55" s="9">
        <v>54936081</v>
      </c>
      <c r="AD55" s="8">
        <v>42388</v>
      </c>
      <c r="AE55" t="s">
        <v>164</v>
      </c>
      <c r="AG55" s="9">
        <v>7</v>
      </c>
      <c r="AH55" s="9">
        <v>2</v>
      </c>
      <c r="AI55" s="9">
        <v>18</v>
      </c>
      <c r="AJ55" s="9">
        <v>1</v>
      </c>
      <c r="AK55" s="9">
        <v>0</v>
      </c>
      <c r="AL55" t="s">
        <v>165</v>
      </c>
      <c r="AN55" t="s">
        <v>166</v>
      </c>
      <c r="AO55" s="9" t="s">
        <v>57</v>
      </c>
      <c r="AP55" s="9">
        <v>23</v>
      </c>
    </row>
    <row r="56" spans="1:42" x14ac:dyDescent="0.2">
      <c r="A56" s="13" t="s">
        <v>560</v>
      </c>
      <c r="B56" t="s">
        <v>394</v>
      </c>
      <c r="C56" t="s">
        <v>45</v>
      </c>
      <c r="D56" t="s">
        <v>58</v>
      </c>
      <c r="E56" t="s">
        <v>59</v>
      </c>
      <c r="F56" s="8">
        <v>43250</v>
      </c>
      <c r="G56" s="9" t="s">
        <v>55</v>
      </c>
      <c r="H56" t="str">
        <f>HYPERLINK("https://app.acclaimip.com/pdf/MDsGinSoLYyMOwcWxqgtgsL_dRH7SKUzcAAQozE/US10002286B1")</f>
        <v>https://app.acclaimip.com/pdf/MDsGinSoLYyMOwcWxqgtgsL_dRH7SKUzcAAQozE/US10002286B1</v>
      </c>
      <c r="I56" t="s">
        <v>395</v>
      </c>
      <c r="J56" t="s">
        <v>396</v>
      </c>
      <c r="K56" t="s">
        <v>159</v>
      </c>
      <c r="L56" t="s">
        <v>48</v>
      </c>
      <c r="M56" s="8">
        <v>42122</v>
      </c>
      <c r="N56" s="8">
        <v>42488</v>
      </c>
      <c r="O56" s="8">
        <v>43270</v>
      </c>
      <c r="P56" s="8">
        <v>47653</v>
      </c>
      <c r="Q56" s="8">
        <v>49874</v>
      </c>
      <c r="R56" t="s">
        <v>397</v>
      </c>
      <c r="T56" s="9">
        <v>1</v>
      </c>
      <c r="U56" s="9">
        <v>17</v>
      </c>
      <c r="V56" s="9" t="s">
        <v>51</v>
      </c>
      <c r="W56">
        <v>62554635</v>
      </c>
      <c r="X56" t="s">
        <v>398</v>
      </c>
      <c r="AB56" s="9">
        <v>24</v>
      </c>
      <c r="AC56" s="9">
        <v>40853417</v>
      </c>
      <c r="AD56" s="8">
        <v>42599</v>
      </c>
      <c r="AE56" t="s">
        <v>378</v>
      </c>
      <c r="AG56" s="9">
        <v>2</v>
      </c>
      <c r="AH56" s="9">
        <v>1</v>
      </c>
      <c r="AI56" s="9">
        <v>16</v>
      </c>
      <c r="AJ56" s="9">
        <v>1</v>
      </c>
      <c r="AK56" s="9">
        <v>0</v>
      </c>
      <c r="AL56" t="s">
        <v>397</v>
      </c>
      <c r="AN56" t="s">
        <v>399</v>
      </c>
      <c r="AO56" s="9" t="s">
        <v>316</v>
      </c>
      <c r="AP56" s="9">
        <v>32</v>
      </c>
    </row>
    <row r="57" spans="1:42" x14ac:dyDescent="0.2">
      <c r="A57" s="13" t="s">
        <v>560</v>
      </c>
      <c r="B57" t="s">
        <v>276</v>
      </c>
      <c r="D57" t="s">
        <v>155</v>
      </c>
      <c r="E57" t="s">
        <v>59</v>
      </c>
      <c r="F57" s="8">
        <v>46026</v>
      </c>
      <c r="G57" s="9" t="s">
        <v>55</v>
      </c>
      <c r="H57" t="str">
        <f>HYPERLINK("https://app.acclaimip.com/pdf/wj-kFihKj7kLP6WKmkqPt0UrdXlG24CHs200QcM/US20240320964A1")</f>
        <v>https://app.acclaimip.com/pdf/wj-kFihKj7kLP6WKmkqPt0UrdXlG24CHs200QcM/US20240320964A1</v>
      </c>
      <c r="I57" t="s">
        <v>277</v>
      </c>
      <c r="J57" t="s">
        <v>278</v>
      </c>
      <c r="K57" t="s">
        <v>48</v>
      </c>
      <c r="L57" t="s">
        <v>48</v>
      </c>
      <c r="M57" s="8">
        <v>44242</v>
      </c>
      <c r="N57" s="8">
        <v>44601</v>
      </c>
      <c r="O57" s="8">
        <v>45561</v>
      </c>
      <c r="R57" t="s">
        <v>279</v>
      </c>
      <c r="S57" t="s">
        <v>280</v>
      </c>
      <c r="T57" s="9">
        <v>3</v>
      </c>
      <c r="U57" s="9">
        <v>14</v>
      </c>
      <c r="V57" s="9" t="s">
        <v>51</v>
      </c>
      <c r="W57">
        <v>82837879</v>
      </c>
      <c r="X57" t="s">
        <v>281</v>
      </c>
      <c r="AB57" s="9">
        <v>0</v>
      </c>
      <c r="AC57" s="9">
        <v>82837879</v>
      </c>
      <c r="AD57" s="8">
        <v>45168</v>
      </c>
      <c r="AE57" t="s">
        <v>282</v>
      </c>
      <c r="AF57" t="s">
        <v>85</v>
      </c>
      <c r="AG57" s="9">
        <v>1</v>
      </c>
      <c r="AH57" s="9">
        <v>1</v>
      </c>
      <c r="AI57" s="9">
        <v>13</v>
      </c>
      <c r="AJ57" s="9">
        <v>3</v>
      </c>
      <c r="AK57" s="9">
        <v>1</v>
      </c>
      <c r="AL57" t="s">
        <v>279</v>
      </c>
      <c r="AO57" s="9" t="s">
        <v>87</v>
      </c>
      <c r="AP57" s="9">
        <v>0</v>
      </c>
    </row>
    <row r="58" spans="1:42" x14ac:dyDescent="0.2">
      <c r="A58" s="13" t="s">
        <v>560</v>
      </c>
      <c r="B58" t="s">
        <v>148</v>
      </c>
      <c r="D58" t="s">
        <v>155</v>
      </c>
      <c r="E58" t="s">
        <v>59</v>
      </c>
      <c r="F58" s="8">
        <v>46009</v>
      </c>
      <c r="G58" s="9" t="s">
        <v>55</v>
      </c>
      <c r="H58" t="str">
        <f>HYPERLINK("https://app.acclaimip.com/pdf/q2wlXMGoxVbvbCTAc6jFWKER4dCL-HBqFb4is6o/US20240303979A1")</f>
        <v>https://app.acclaimip.com/pdf/q2wlXMGoxVbvbCTAc6jFWKER4dCL-HBqFb4is6o/US20240303979A1</v>
      </c>
      <c r="I58" t="s">
        <v>149</v>
      </c>
      <c r="J58" t="s">
        <v>150</v>
      </c>
      <c r="K58" t="s">
        <v>48</v>
      </c>
      <c r="L58" t="s">
        <v>48</v>
      </c>
      <c r="M58" s="8">
        <v>44243</v>
      </c>
      <c r="N58" s="8">
        <v>44608</v>
      </c>
      <c r="O58" s="8">
        <v>45547</v>
      </c>
      <c r="R58" t="s">
        <v>151</v>
      </c>
      <c r="S58" t="s">
        <v>152</v>
      </c>
      <c r="T58" s="9">
        <v>2</v>
      </c>
      <c r="U58" s="9">
        <v>10</v>
      </c>
      <c r="V58" s="9" t="s">
        <v>51</v>
      </c>
      <c r="W58">
        <v>82931608</v>
      </c>
      <c r="X58" t="s">
        <v>153</v>
      </c>
      <c r="AB58" s="9">
        <v>0</v>
      </c>
      <c r="AC58" s="9">
        <v>82931608</v>
      </c>
      <c r="AD58" s="8">
        <v>45168</v>
      </c>
      <c r="AE58" t="s">
        <v>154</v>
      </c>
      <c r="AF58" t="s">
        <v>85</v>
      </c>
      <c r="AG58" s="9">
        <v>33</v>
      </c>
      <c r="AH58" s="9">
        <v>2</v>
      </c>
      <c r="AI58" s="9">
        <v>8</v>
      </c>
      <c r="AJ58" s="9">
        <v>1</v>
      </c>
      <c r="AK58" s="9">
        <v>0</v>
      </c>
      <c r="AL58" t="s">
        <v>151</v>
      </c>
      <c r="AO58" s="9" t="s">
        <v>87</v>
      </c>
      <c r="AP58" s="9">
        <v>2</v>
      </c>
    </row>
    <row r="59" spans="1:42" x14ac:dyDescent="0.2">
      <c r="A59" s="13" t="s">
        <v>560</v>
      </c>
      <c r="B59" t="s">
        <v>387</v>
      </c>
      <c r="D59" t="s">
        <v>155</v>
      </c>
      <c r="E59" t="s">
        <v>59</v>
      </c>
      <c r="F59" s="8">
        <v>46009</v>
      </c>
      <c r="G59" s="9" t="s">
        <v>55</v>
      </c>
      <c r="H59" t="str">
        <f>HYPERLINK("https://app.acclaimip.com/pdf/IvDgZt3bfU2s8OH6b9t9Q-IfhRyKo6KrTUBe_iM/US20240062532A1")</f>
        <v>https://app.acclaimip.com/pdf/IvDgZt3bfU2s8OH6b9t9Q-IfhRyKo6KrTUBe_iM/US20240062532A1</v>
      </c>
      <c r="I59" t="s">
        <v>388</v>
      </c>
      <c r="J59" t="s">
        <v>389</v>
      </c>
      <c r="K59" t="s">
        <v>48</v>
      </c>
      <c r="L59" t="s">
        <v>48</v>
      </c>
      <c r="M59" s="8">
        <v>44243</v>
      </c>
      <c r="N59" s="8">
        <v>44608</v>
      </c>
      <c r="O59" s="8">
        <v>45344</v>
      </c>
      <c r="R59" t="s">
        <v>390</v>
      </c>
      <c r="S59" t="s">
        <v>391</v>
      </c>
      <c r="T59" s="9">
        <v>2</v>
      </c>
      <c r="U59" s="9">
        <v>14</v>
      </c>
      <c r="V59" s="9" t="s">
        <v>51</v>
      </c>
      <c r="W59">
        <v>82931975</v>
      </c>
      <c r="X59" t="s">
        <v>392</v>
      </c>
      <c r="AB59" s="9">
        <v>1</v>
      </c>
      <c r="AC59" s="9">
        <v>82931975</v>
      </c>
      <c r="AD59" s="8">
        <v>45168</v>
      </c>
      <c r="AE59" t="s">
        <v>119</v>
      </c>
      <c r="AF59" t="s">
        <v>85</v>
      </c>
      <c r="AG59" s="9">
        <v>3</v>
      </c>
      <c r="AH59" s="9">
        <v>1</v>
      </c>
      <c r="AI59" s="9">
        <v>13</v>
      </c>
      <c r="AJ59" s="9">
        <v>1</v>
      </c>
      <c r="AK59" s="9">
        <v>0</v>
      </c>
      <c r="AL59" t="s">
        <v>390</v>
      </c>
      <c r="AN59" t="s">
        <v>393</v>
      </c>
      <c r="AO59" s="9" t="s">
        <v>87</v>
      </c>
      <c r="AP59" s="9">
        <v>9</v>
      </c>
    </row>
    <row r="60" spans="1:42" x14ac:dyDescent="0.2">
      <c r="A60" s="12" t="s">
        <v>559</v>
      </c>
      <c r="B60" s="11" t="s">
        <v>502</v>
      </c>
      <c r="E60" t="s">
        <v>59</v>
      </c>
      <c r="G60" s="9" t="s">
        <v>510</v>
      </c>
      <c r="H60" t="str">
        <f>HYPERLINK("https://app.acclaimip.com/pdf/8LDkdoNBt7tXsOXqMUG3tRlLSPmEQCRKZ7n5rfE/WO2025194159A1")</f>
        <v>https://app.acclaimip.com/pdf/8LDkdoNBt7tXsOXqMUG3tRlLSPmEQCRKZ7n5rfE/WO2025194159A1</v>
      </c>
      <c r="I60" t="s">
        <v>503</v>
      </c>
      <c r="J60" t="s">
        <v>328</v>
      </c>
      <c r="K60" t="s">
        <v>504</v>
      </c>
      <c r="L60" t="s">
        <v>504</v>
      </c>
      <c r="M60" s="8">
        <v>45366</v>
      </c>
      <c r="N60" s="8">
        <v>45733</v>
      </c>
      <c r="O60" s="8">
        <v>45918</v>
      </c>
      <c r="R60" t="s">
        <v>505</v>
      </c>
      <c r="T60" s="9">
        <v>1</v>
      </c>
      <c r="U60" s="9">
        <v>1</v>
      </c>
      <c r="V60" s="9" t="s">
        <v>506</v>
      </c>
      <c r="W60">
        <v>97064561</v>
      </c>
      <c r="X60" t="s">
        <v>507</v>
      </c>
      <c r="AB60" s="9">
        <v>0</v>
      </c>
      <c r="AC60" s="9">
        <v>96773600</v>
      </c>
      <c r="AE60" t="s">
        <v>508</v>
      </c>
      <c r="AF60" t="s">
        <v>85</v>
      </c>
      <c r="AG60" s="9">
        <v>5</v>
      </c>
      <c r="AH60" s="9">
        <v>1</v>
      </c>
      <c r="AI60" s="9">
        <v>0</v>
      </c>
      <c r="AL60" t="s">
        <v>509</v>
      </c>
      <c r="AO60" s="9" t="s">
        <v>87</v>
      </c>
      <c r="AP60" s="9">
        <v>0</v>
      </c>
    </row>
    <row r="61" spans="1:42" x14ac:dyDescent="0.2">
      <c r="A61" s="12" t="s">
        <v>559</v>
      </c>
      <c r="B61" s="11" t="s">
        <v>517</v>
      </c>
      <c r="E61" t="s">
        <v>59</v>
      </c>
      <c r="G61" s="9" t="s">
        <v>510</v>
      </c>
      <c r="H61" t="str">
        <f>HYPERLINK("https://app.acclaimip.com/pdf/qtcSgD_fvk1s1xMcjd--QyIsnV4z7sDnU3vonKs/WO2025193512A1")</f>
        <v>https://app.acclaimip.com/pdf/qtcSgD_fvk1s1xMcjd--QyIsnV4z7sDnU3vonKs/WO2025193512A1</v>
      </c>
      <c r="I61" t="s">
        <v>518</v>
      </c>
      <c r="J61" t="s">
        <v>519</v>
      </c>
      <c r="K61" t="s">
        <v>504</v>
      </c>
      <c r="L61" t="s">
        <v>504</v>
      </c>
      <c r="M61" s="8">
        <v>45365</v>
      </c>
      <c r="N61" s="8">
        <v>45722</v>
      </c>
      <c r="O61" s="8">
        <v>45918</v>
      </c>
      <c r="R61" t="s">
        <v>520</v>
      </c>
      <c r="T61" s="9">
        <v>1</v>
      </c>
      <c r="U61" s="9">
        <v>1</v>
      </c>
      <c r="V61" s="9" t="s">
        <v>506</v>
      </c>
      <c r="W61">
        <v>97064393</v>
      </c>
      <c r="X61" t="s">
        <v>521</v>
      </c>
      <c r="AB61" s="9">
        <v>0</v>
      </c>
      <c r="AC61" s="9">
        <v>97064393</v>
      </c>
      <c r="AE61" t="s">
        <v>522</v>
      </c>
      <c r="AF61" t="s">
        <v>85</v>
      </c>
      <c r="AG61" s="9">
        <v>4</v>
      </c>
      <c r="AH61" s="9">
        <v>1</v>
      </c>
      <c r="AI61" s="9">
        <v>0</v>
      </c>
      <c r="AL61" t="s">
        <v>523</v>
      </c>
      <c r="AO61" s="9" t="s">
        <v>87</v>
      </c>
      <c r="AP61" s="9">
        <v>1</v>
      </c>
    </row>
    <row r="62" spans="1:42" x14ac:dyDescent="0.2">
      <c r="A62" s="12" t="s">
        <v>559</v>
      </c>
      <c r="B62" s="11" t="s">
        <v>511</v>
      </c>
      <c r="E62" t="s">
        <v>59</v>
      </c>
      <c r="G62" s="9" t="s">
        <v>510</v>
      </c>
      <c r="H62" t="str">
        <f>HYPERLINK("https://app.acclaimip.com/pdf/fmKQhLx-uA3DYpEYDn64A414h1k_TT2_1MQP1X8/WO2025175267A1")</f>
        <v>https://app.acclaimip.com/pdf/fmKQhLx-uA3DYpEYDn64A414h1k_TT2_1MQP1X8/WO2025175267A1</v>
      </c>
      <c r="I62" t="s">
        <v>512</v>
      </c>
      <c r="J62" t="s">
        <v>513</v>
      </c>
      <c r="K62" t="s">
        <v>504</v>
      </c>
      <c r="L62" t="s">
        <v>504</v>
      </c>
      <c r="M62" s="8">
        <v>45338</v>
      </c>
      <c r="N62" s="8">
        <v>45705</v>
      </c>
      <c r="O62" s="8">
        <v>45890</v>
      </c>
      <c r="R62" t="s">
        <v>514</v>
      </c>
      <c r="T62" s="9">
        <v>1</v>
      </c>
      <c r="U62" s="9">
        <v>1</v>
      </c>
      <c r="V62" s="9" t="s">
        <v>506</v>
      </c>
      <c r="W62">
        <v>96773600</v>
      </c>
      <c r="X62" t="s">
        <v>515</v>
      </c>
      <c r="AB62" s="9">
        <v>0</v>
      </c>
      <c r="AC62" s="9">
        <v>96773600</v>
      </c>
      <c r="AE62" t="s">
        <v>516</v>
      </c>
      <c r="AF62" t="s">
        <v>85</v>
      </c>
      <c r="AG62" s="9">
        <v>4</v>
      </c>
      <c r="AH62" s="9">
        <v>1</v>
      </c>
      <c r="AI62" s="9">
        <v>0</v>
      </c>
      <c r="AL62" t="s">
        <v>514</v>
      </c>
      <c r="AO62" s="9" t="s">
        <v>87</v>
      </c>
      <c r="AP62" s="9">
        <v>3</v>
      </c>
    </row>
    <row r="63" spans="1:42" x14ac:dyDescent="0.2">
      <c r="A63" s="12" t="s">
        <v>559</v>
      </c>
      <c r="B63" s="5" t="s">
        <v>543</v>
      </c>
      <c r="E63" t="s">
        <v>534</v>
      </c>
      <c r="G63" s="9" t="s">
        <v>510</v>
      </c>
      <c r="H63" t="str">
        <f>HYPERLINK("https://app.acclaimip.com/pdf/K2l7323LtJG-aXpD38u0n_Aar4IkAKa14gcJyio/WO2024091472A1")</f>
        <v>https://app.acclaimip.com/pdf/K2l7323LtJG-aXpD38u0n_Aar4IkAKa14gcJyio/WO2024091472A1</v>
      </c>
      <c r="I63" t="s">
        <v>544</v>
      </c>
      <c r="J63" t="s">
        <v>545</v>
      </c>
      <c r="K63" t="s">
        <v>504</v>
      </c>
      <c r="L63" t="s">
        <v>504</v>
      </c>
      <c r="M63" s="8">
        <v>44858</v>
      </c>
      <c r="N63" s="8">
        <v>45223</v>
      </c>
      <c r="O63" s="8">
        <v>45414</v>
      </c>
      <c r="R63" t="s">
        <v>546</v>
      </c>
      <c r="T63" s="9">
        <v>1</v>
      </c>
      <c r="U63" s="9">
        <v>1</v>
      </c>
      <c r="V63" s="9" t="s">
        <v>506</v>
      </c>
      <c r="W63">
        <v>90831722</v>
      </c>
      <c r="X63" t="s">
        <v>547</v>
      </c>
      <c r="AB63" s="9">
        <v>0</v>
      </c>
      <c r="AC63" s="9">
        <v>90831722</v>
      </c>
      <c r="AE63" t="s">
        <v>548</v>
      </c>
      <c r="AG63" s="9">
        <v>5</v>
      </c>
      <c r="AH63" s="9">
        <v>1</v>
      </c>
      <c r="AI63" s="9">
        <v>0</v>
      </c>
      <c r="AL63" t="s">
        <v>546</v>
      </c>
      <c r="AO63" s="9" t="s">
        <v>87</v>
      </c>
      <c r="AP63" s="9">
        <v>0</v>
      </c>
    </row>
    <row r="64" spans="1:42" x14ac:dyDescent="0.2">
      <c r="A64" s="12" t="s">
        <v>559</v>
      </c>
      <c r="B64" s="4" t="s">
        <v>556</v>
      </c>
      <c r="C64" t="s">
        <v>558</v>
      </c>
      <c r="I64" s="2" t="s">
        <v>552</v>
      </c>
    </row>
    <row r="65" spans="1:9" x14ac:dyDescent="0.2">
      <c r="A65" s="12" t="s">
        <v>559</v>
      </c>
      <c r="B65" s="4" t="s">
        <v>555</v>
      </c>
      <c r="C65" t="s">
        <v>558</v>
      </c>
      <c r="I65" s="2" t="s">
        <v>551</v>
      </c>
    </row>
    <row r="66" spans="1:9" x14ac:dyDescent="0.2">
      <c r="A66" s="12" t="s">
        <v>559</v>
      </c>
      <c r="B66" s="4" t="s">
        <v>554</v>
      </c>
      <c r="C66" t="s">
        <v>558</v>
      </c>
      <c r="I66" s="2" t="s">
        <v>550</v>
      </c>
    </row>
    <row r="67" spans="1:9" x14ac:dyDescent="0.2">
      <c r="A67" s="12" t="s">
        <v>559</v>
      </c>
      <c r="B67" s="4" t="s">
        <v>553</v>
      </c>
      <c r="C67" t="s">
        <v>558</v>
      </c>
      <c r="I67" s="2" t="s">
        <v>549</v>
      </c>
    </row>
  </sheetData>
  <autoFilter ref="A1:AS67" xr:uid="{40B5DA87-B00F-9C49-B173-AC01D68BDE4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Barbin</dc:creator>
  <cp:lastModifiedBy>Luke Barbin</cp:lastModifiedBy>
  <dcterms:created xsi:type="dcterms:W3CDTF">2026-01-20T02:26:56Z</dcterms:created>
  <dcterms:modified xsi:type="dcterms:W3CDTF">2026-01-20T20:33:23Z</dcterms:modified>
</cp:coreProperties>
</file>